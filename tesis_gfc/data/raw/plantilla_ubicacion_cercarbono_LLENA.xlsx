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ocuments\Maestria\Tesis\tesis_gfc\data\raw\"/>
    </mc:Choice>
  </mc:AlternateContent>
  <xr:revisionPtr revIDLastSave="0" documentId="13_ncr:1_{F039C76B-754E-4CB9-92B7-70EC38ACAE7A}" xr6:coauthVersionLast="47" xr6:coauthVersionMax="47" xr10:uidLastSave="{00000000-0000-0000-0000-000000000000}"/>
  <bookViews>
    <workbookView xWindow="-28920" yWindow="-4695" windowWidth="29040" windowHeight="15840" tabRatio="500" xr2:uid="{00000000-000D-0000-FFFF-FFFF00000000}"/>
  </bookViews>
  <sheets>
    <sheet name="Plantilla" sheetId="1" r:id="rId1"/>
    <sheet name="Instrucciones" sheetId="2" r:id="rId2"/>
    <sheet name="Resguardos_ANT" sheetId="3" r:id="rId3"/>
  </sheets>
  <definedNames>
    <definedName name="_xlnm._FilterDatabase" localSheetId="2" hidden="1">Resguardos_ANT!$A$1:$F$969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" l="1"/>
  <c r="I4" i="1"/>
  <c r="M23" i="1"/>
  <c r="L23" i="1"/>
  <c r="K23" i="1"/>
  <c r="I23" i="1"/>
  <c r="M22" i="1"/>
  <c r="L22" i="1"/>
  <c r="K22" i="1"/>
  <c r="I22" i="1"/>
  <c r="M21" i="1"/>
  <c r="L21" i="1"/>
  <c r="K21" i="1"/>
  <c r="I21" i="1"/>
  <c r="M20" i="1"/>
  <c r="L20" i="1"/>
  <c r="K20" i="1"/>
  <c r="I20" i="1"/>
  <c r="M19" i="1"/>
  <c r="L19" i="1"/>
  <c r="K19" i="1"/>
  <c r="I19" i="1"/>
  <c r="M18" i="1"/>
  <c r="L18" i="1"/>
  <c r="K18" i="1"/>
  <c r="I18" i="1"/>
  <c r="M17" i="1"/>
  <c r="L17" i="1"/>
  <c r="K17" i="1"/>
  <c r="I17" i="1"/>
  <c r="M16" i="1"/>
  <c r="L16" i="1"/>
  <c r="K16" i="1"/>
  <c r="I16" i="1"/>
  <c r="M15" i="1"/>
  <c r="L15" i="1"/>
  <c r="K15" i="1"/>
  <c r="I15" i="1"/>
  <c r="M14" i="1"/>
  <c r="L14" i="1"/>
  <c r="K14" i="1"/>
  <c r="I14" i="1"/>
  <c r="M13" i="1"/>
  <c r="L13" i="1"/>
  <c r="K13" i="1"/>
  <c r="I13" i="1"/>
  <c r="M12" i="1"/>
  <c r="L12" i="1"/>
  <c r="K12" i="1"/>
  <c r="I12" i="1"/>
  <c r="M11" i="1"/>
  <c r="L11" i="1"/>
  <c r="K11" i="1"/>
  <c r="I11" i="1"/>
  <c r="M10" i="1"/>
  <c r="L10" i="1"/>
  <c r="K10" i="1"/>
  <c r="I10" i="1"/>
  <c r="M9" i="1"/>
  <c r="L9" i="1"/>
  <c r="K9" i="1"/>
  <c r="I9" i="1"/>
  <c r="L8" i="1"/>
  <c r="K8" i="1"/>
  <c r="I8" i="1"/>
  <c r="M7" i="1"/>
  <c r="L7" i="1"/>
  <c r="K7" i="1"/>
  <c r="I7" i="1"/>
  <c r="M6" i="1"/>
  <c r="L6" i="1"/>
  <c r="K6" i="1"/>
  <c r="I6" i="1"/>
  <c r="M5" i="1"/>
  <c r="L5" i="1"/>
  <c r="K5" i="1"/>
  <c r="I5" i="1"/>
  <c r="M4" i="1"/>
  <c r="L4" i="1"/>
  <c r="K4" i="1"/>
  <c r="M3" i="1"/>
  <c r="L3" i="1"/>
  <c r="K3" i="1"/>
  <c r="I3" i="1"/>
  <c r="M2" i="1"/>
  <c r="L2" i="1"/>
  <c r="K2" i="1"/>
  <c r="I2" i="1"/>
</calcChain>
</file>

<file path=xl/sharedStrings.xml><?xml version="1.0" encoding="utf-8"?>
<sst xmlns="http://schemas.openxmlformats.org/spreadsheetml/2006/main" count="4141" uniqueCount="1631">
  <si>
    <t>nombre_proyecto</t>
  </si>
  <si>
    <t>fuente</t>
  </si>
  <si>
    <t>creditos_emitidos</t>
  </si>
  <si>
    <t>url_ficha</t>
  </si>
  <si>
    <t>fecha_consulta</t>
  </si>
  <si>
    <t>tipo_territorio</t>
  </si>
  <si>
    <t>territorio_declarado</t>
  </si>
  <si>
    <t>id_ant</t>
  </si>
  <si>
    <t>nombre_ant</t>
  </si>
  <si>
    <t>municipios_nombre</t>
  </si>
  <si>
    <t>cod_dane</t>
  </si>
  <si>
    <t>departamento_ant</t>
  </si>
  <si>
    <t>area_ha_ant</t>
  </si>
  <si>
    <t>municipios_adicionales</t>
  </si>
  <si>
    <t>anio_inicio</t>
  </si>
  <si>
    <t>evidencia</t>
  </si>
  <si>
    <t>confianza</t>
  </si>
  <si>
    <t>notas</t>
  </si>
  <si>
    <t>Proyecto Conservación ARLEQUÍN REDD+</t>
  </si>
  <si>
    <t>cercarbono</t>
  </si>
  <si>
    <t>https://registry.cercarbono.com/projects/CDC-22</t>
  </si>
  <si>
    <t>2026-09-20</t>
  </si>
  <si>
    <t>Consejo comunitario</t>
  </si>
  <si>
    <t>ACISANP, COCOILLO, COCOMACER</t>
  </si>
  <si>
    <t>Canton de San Pablo (CHOCO), Lloro (CHOCO), Certegui (CHOCO)</t>
  </si>
  <si>
    <t>In the municipalities of Canton de San Pablo, Lloro and Certegui ... protect 82.626 hectares of tropical rainforest</t>
  </si>
  <si>
    <t>alta</t>
  </si>
  <si>
    <t>3 consejos comunitarios, 3 municipios. Proyecto multicomponente (REDD+ mas reforestacion, agricultura, estufas, turismo)</t>
  </si>
  <si>
    <t>Manejo Sostenible de los Bosques Aplicado en el Oriente</t>
  </si>
  <si>
    <t>https://registry.cercarbono.com/projects/CDC-28</t>
  </si>
  <si>
    <t>Otro</t>
  </si>
  <si>
    <t>Jurisdiccion CORNARE, Oriente antioqueno</t>
  </si>
  <si>
    <t>is developed in the CORNARE jurisdiction which is located in Antioquia department</t>
  </si>
  <si>
    <t>baja</t>
  </si>
  <si>
    <t>NO DETERMINABLE: CORNARE cubre ~26 municipios y la ficha no nombra ninguno. Esquema BanCO2. Dejar fuera o buscar el PDD completo</t>
  </si>
  <si>
    <t>Makaro Ap+ro</t>
  </si>
  <si>
    <t>https://registry.cercarbono.com/projects/CDC-52</t>
  </si>
  <si>
    <t>Resguardo indigena</t>
  </si>
  <si>
    <t>no nombrado en la ficha</t>
  </si>
  <si>
    <t>Mitu (VAUPES)</t>
  </si>
  <si>
    <t>Colombia, Vaupes, Mitu</t>
  </si>
  <si>
    <t>Municipio explicito al final de la descripcion; el resguardo no se nombra</t>
  </si>
  <si>
    <t>BAKA ROKARIRE ~IA TIR+~DITO</t>
  </si>
  <si>
    <t>https://registry.cercarbono.com/projects/CDC-53</t>
  </si>
  <si>
    <t>No determinado</t>
  </si>
  <si>
    <t>no nombrado</t>
  </si>
  <si>
    <t>Colombia, Vaupes, Vaupes</t>
  </si>
  <si>
    <t>media</t>
  </si>
  <si>
    <t>Solo departamento. 'Vaupes, Vaupes' puede referirse al area no municipalizada; verificar en el PDD</t>
  </si>
  <si>
    <t>Awakadaa Matsiadali</t>
  </si>
  <si>
    <t>https://registry.cercarbono.com/projects/CDC-55</t>
  </si>
  <si>
    <t>Inirida (GUAINIA)</t>
  </si>
  <si>
    <t>Colombia, Guainia, Inirida</t>
  </si>
  <si>
    <t>Municipio explicito</t>
  </si>
  <si>
    <t>Jocū Bucūrō Apūrō</t>
  </si>
  <si>
    <t>https://registry.cercarbono.com/projects/CDC-56</t>
  </si>
  <si>
    <t>SIN UBICACION en la ficha: solo dice 'Colombian Amazon region'. Requiere el PDD</t>
  </si>
  <si>
    <t>BANAKALE - ISIMALI REDD+</t>
  </si>
  <si>
    <t>https://registry.cercarbono.com/projects/CDC-60</t>
  </si>
  <si>
    <t>Santa Teresita del Tuparro; San Luis del Tomo</t>
  </si>
  <si>
    <t>Cumaribo (VICHADA)</t>
  </si>
  <si>
    <t>sustainable management system for the forests of the Santa Teresita del Tuparro and San Luis del Tomo indigenous reserves</t>
  </si>
  <si>
    <t>Los dos resguardos no aparecen con ese nombre en la capa ANT; los resguardos del Tuparro registrados estan en 99773 Cumaribo (Vichada). Verificar</t>
  </si>
  <si>
    <t>COCOMAN FRONTERA REDD+</t>
  </si>
  <si>
    <t>https://registry.cercarbono.com/projects/CDC-61</t>
  </si>
  <si>
    <t>Los Marlin (Jurado); COCOMAN (Novita)</t>
  </si>
  <si>
    <t>Jurado (CHOCO), Novita (CHOCO)</t>
  </si>
  <si>
    <t>is developed in the department of Choco, specifically in the municipalities of Jurado and Novita</t>
  </si>
  <si>
    <t>2 municipios no contiguos</t>
  </si>
  <si>
    <t>Planeta agradecido con el Resguardo Indígena Bajo R...</t>
  </si>
  <si>
    <t>https://registry.cercarbono.com/projects/CDC-64</t>
  </si>
  <si>
    <t>Bajo Rio Guainia y Rio Negro</t>
  </si>
  <si>
    <t>is developed in 61.48% of the total area of the territory of the Indigenous Resguardo Bajo Rio Guainia y Rio Negro</t>
  </si>
  <si>
    <t>Fase I. Area = 61,48% de las 759.200 ha del resguardo (ANT ID 10372). Periodo de acreditacion 2018-01-01/2037-12-31</t>
  </si>
  <si>
    <t>Manejo Sostenible de los Bosques Aplicado al Predio</t>
  </si>
  <si>
    <t>https://registry.cercarbono.com/projects/CDC-65</t>
  </si>
  <si>
    <t>Predio privado</t>
  </si>
  <si>
    <t>Predio Santa Ana, vereda El Popal</t>
  </si>
  <si>
    <t>Sonson (ANTIOQUIA)</t>
  </si>
  <si>
    <t>applied to the Santa Ana property, El Popal village, Sonson Municipality</t>
  </si>
  <si>
    <t>Predio individual bajo esquema BanCO2</t>
  </si>
  <si>
    <t>Proyecto REDD+ Zona Isana y Surubi</t>
  </si>
  <si>
    <t>https://registry.cercarbono.com/projects/CDC-67</t>
  </si>
  <si>
    <t>Gran Resguardo del Vaupes</t>
  </si>
  <si>
    <t>will be developed in 133.806,35 hectares of the territory of the Great Vaupes Indigenous Reservation</t>
  </si>
  <si>
    <t>El Gran Resguardo del Vaupes (ANT 10743) tiene 3.955.168 ha y abarca varios municipios; el proyecto ocupa 133.806 ha. Municipio ANT = 97001 Mitu, pero el area del proyecto puede caer en otro</t>
  </si>
  <si>
    <t>REDD+ PAZCÍFICO</t>
  </si>
  <si>
    <t>https://registry.cercarbono.com/projects/CDC-89</t>
  </si>
  <si>
    <t>Unicosta; Prodefensa del Rio Tapaje; Guapi Abajo; Cuenca del Rio Iscuande</t>
  </si>
  <si>
    <t>El Charco (NARINO)</t>
  </si>
  <si>
    <t>involves the community councils of Unicosta, Prodefensa del Rio Tapaje, Guapi Abajo and Cuenca del Rio Iscuande ... Colombia, Narino, El Charco</t>
  </si>
  <si>
    <t>Los consejos apuntan a mas de un municipio y a dos departamentos: Prodefensa del Rio Tapaje (El Charco, Narino), Cuenca del Rio Iscuande (Santa Barbara, Narino) y Guapi Abajo (Guapi, CAUCA). La etiqueta de la ficha solo dice Narino. Solo se asigna El Charco; los otros tres quedan pendientes de verificar en el PDD</t>
  </si>
  <si>
    <t>Pedeguita y Mancilla REDD+</t>
  </si>
  <si>
    <t>https://registry.cercarbono.com/projects/CDC-99</t>
  </si>
  <si>
    <t>Pedeguita y Mancilla</t>
  </si>
  <si>
    <t>Riosucio (CHOCO), Carmen del Darien (CHOCO), Belen de Bajira (CHOCO)</t>
  </si>
  <si>
    <t>located in the municipalities of Riosucio, Carmen del Darien and Belen de Bajira, in the department of Choco</t>
  </si>
  <si>
    <t>OJO: Belen de Bajira no es municipio DANE vigente (territorio en disputa Choco/Antioquia); si no resuelve, asignar a Riosucio y Carmen del Darien</t>
  </si>
  <si>
    <t>PITUGUCAJUDE</t>
  </si>
  <si>
    <t>https://registry.cercarbono.com/projects/CDC-100</t>
  </si>
  <si>
    <t>Proyecto Agrupado YAAWI IIPANA REDD+</t>
  </si>
  <si>
    <t>https://registry.cercarbono.com/projects/CDC-102</t>
  </si>
  <si>
    <t>Morichal Viejo, Santa Rosa, Cerro Cocuy, Santa Cruz, Cano Danta y otros</t>
  </si>
  <si>
    <t>conservation and protection of 671.145 [ha] ... proposed by the Morichal Viejo, Santa Rosa, Cerro Cocuy, Santa Cruz, Cano Danta and others Indigenous Reserve</t>
  </si>
  <si>
    <t>Coincidencia casi exacta de area: ANT 10413 registra 670.000 ha. ANT lo asigna a municipio 95025 (Guaviare), pero los parajes nombrados son de Guainia: el resguardo cruza el limite. VERIFICAR antes de fijar municipio</t>
  </si>
  <si>
    <t>PROYECTO REDD+ PAZCÍFICO SUR</t>
  </si>
  <si>
    <t>https://registry.cercarbono.com/projects/CDC-114</t>
  </si>
  <si>
    <t>18 comunidades afrodescendientes</t>
  </si>
  <si>
    <t>developed in 18 Afrodescendant communities in Departament of Narino ... inside 371.749 hectares</t>
  </si>
  <si>
    <t>Solo se nombra El Charco al final; 371.749 ha en 18 comunidades abarcan mas municipios de la costa nariniense</t>
  </si>
  <si>
    <t>CHONTA COROZO REDD+ Project</t>
  </si>
  <si>
    <t>https://registry.cercarbono.com/projects/CDC-117</t>
  </si>
  <si>
    <t>Alto Guapi</t>
  </si>
  <si>
    <t>Guapi (CAUCA)</t>
  </si>
  <si>
    <t>collective territories of the Community Council of the Alto Guapi, which is in Guapi municipality, in Cauca department</t>
  </si>
  <si>
    <t>Cavadacavᵾ Coreivᵾ Jocᵾ Bᵾcᵾro Rẽ, N̄ᵾjẽ N̄ecᵾvã</t>
  </si>
  <si>
    <t>https://registry.cercarbono.com/projects/CDC-118</t>
  </si>
  <si>
    <t>San Jose del Guaviare (GUAVIARE)</t>
  </si>
  <si>
    <t>Colombia, Guaviare, San Jose del Guaviare</t>
  </si>
  <si>
    <t>Planeta Agradecido con el Resguardo indígena Bajo Río</t>
  </si>
  <si>
    <t>https://registry.cercarbono.com/projects/CDC-146</t>
  </si>
  <si>
    <t>Bajo Rio Guainia y Rio Negro II</t>
  </si>
  <si>
    <t>is developed in 293.400,88 hectares of the territory of the 'Bajo Rio Guainia y Rio Negro' Indigenous Reservation</t>
  </si>
  <si>
    <t>Fase II del mismo resguardo que CDC-64. Con min(anio) el municipio entra por la fase I (2018); la fase II solo suma dosis en la especificacion de intensidad</t>
  </si>
  <si>
    <t>Proyecto de Conservación UNU-MAI REDD+</t>
  </si>
  <si>
    <t>https://registry.cercarbono.com/projects/CDC-148</t>
  </si>
  <si>
    <t>Laguna Ninal, Cocuy, Loma Baja y Loma Alta</t>
  </si>
  <si>
    <t>Indigenous Reserve, located in the municipality of Inirida, department of Guainia ... 130.404 hectares of natural forest</t>
  </si>
  <si>
    <t>Municipio explicito y coincidencia con ANT 10384 (138.437,5 ha registradas)</t>
  </si>
  <si>
    <t>GUAINIA REDD+ PROJECT</t>
  </si>
  <si>
    <t>https://registry.cercarbono.com/projects/CDC-152</t>
  </si>
  <si>
    <t>Almidon La Ceiba; Caranacoa-Yuri Laguna Morocoto; Venado; Paujil-Limonar; Rios Cuiari e Isana</t>
  </si>
  <si>
    <t>en los Resguardos Indigenas Almidon La Ceiba, Caranacoa-Yuri Laguna Morocoto, Venado, Paujil-Limonar y Rios Cuiari e Isana ... Departamento del Guainia</t>
  </si>
  <si>
    <t>CINCO resguardos: ANT 10373 (94001), 10381 (94001), 10388 (94001), 10391 (94887). Cuatro en Inirida y uno en 94887. No hay un solo id_ant; registrar municipios 94001 y 94887</t>
  </si>
  <si>
    <t>Awakadaa Jiduaa</t>
  </si>
  <si>
    <t>https://registry.cercarbono.com/projects/CDC-155</t>
  </si>
  <si>
    <t>Tonina, Sejal, San Jose y Otros</t>
  </si>
  <si>
    <t>the second phase of work of the Tonina, Sejal, San Jose and Others Indigenous Reservation, created by INCORA resolution 079 of 1989</t>
  </si>
  <si>
    <t>Coincidencia exacta con ANT 10394 (853.320 ha, municipio 94001). Es SEGUNDA FASE: buscar si la primera esta registrada aparte</t>
  </si>
  <si>
    <t>EJEMPLO - no editar ni usar</t>
  </si>
  <si>
    <t>https://registro.cercarbono.com/...</t>
  </si>
  <si>
    <t>Resguardo Indigena Wacoyo</t>
  </si>
  <si>
    <t>99524, 99001</t>
  </si>
  <si>
    <t>PDD seccion 1.12: el area del proyecto se ubica en el resguardo X, municipio Y</t>
  </si>
  <si>
    <t>El PDD lista 2 municipios; se registran ambos</t>
  </si>
  <si>
    <t>PLANTILLA DE RECUPERACION MANUAL DE UBICACION</t>
  </si>
  <si>
    <t>Alcance</t>
  </si>
  <si>
    <t>Los 22 proyectos REDD+ de Cercarbono con creditos emitidos &gt; 0 (47.407.872 tCO2e en total), que hoy no tienen municipio asignado y por tanto estan en el grupo de CONTROL.</t>
  </si>
  <si>
    <t>Los otros 9 proyectos ccb-redd de Cercarbono tienen 0 creditos: no activaron el mecanismo y no cambian el tratamiento, asi que no entran a esta plantilla.</t>
  </si>
  <si>
    <t>Colores</t>
  </si>
  <si>
    <t>GRIS = dato ya cargado, no editar.  AMARILLO = rellenar a mano.  VERDE = formula, se llena sola.</t>
  </si>
  <si>
    <t>Como llenar</t>
  </si>
  <si>
    <t>1. Abre la ficha publica del proyecto en el registro de Cercarbono y pega la URL en url_ficha.</t>
  </si>
  <si>
    <t>2. Anota la fecha de consulta: las fichas cambian y la trazabilidad importa.</t>
  </si>
  <si>
    <t>3. Busca en el PDD el territorio donde opera (resguardo, consejo comunitario o predio) y escribelo TAL CUAL en territorio_declarado.</t>
  </si>
  <si>
    <t>4. Busca ese territorio en la hoja Resguardos_ANT filtrando por PUEBLO y DEPARTAMENTO, no por nombre: los proyectos NO se llaman como el resguardo, y el empate por similitud da falsos positivos.</t>
  </si>
  <si>
    <t>5. Copia el ID de la ANT en id_ant. Las columnas verdes se llenan solas.</t>
  </si>
  <si>
    <t>6. Si el PDD nombra mas municipios que el que trae la ANT, listalos en municipios_adicionales separados por coma. Un resguardo grande abarca varios.</t>
  </si>
  <si>
    <t>7. Copia en evidencia la frase del PDD que sustenta la ubicacion. Es lo que vas a citar si preguntan por un municipio concreto en la sustentacion.</t>
  </si>
  <si>
    <t>Confianza</t>
  </si>
  <si>
    <t>alta  = el PDD lista municipios explicitamente, o el territorio esta identificado sin ambiguedad en la ANT</t>
  </si>
  <si>
    <t>media = solo hay departamento y pueblo, y el resguardo se dedujo entre pocos candidatos</t>
  </si>
  <si>
    <t>baja  = ubicacion aproximada o inferida; NO debe entrar a la especificacion principal</t>
  </si>
  <si>
    <t>Regla de oro</t>
  </si>
  <si>
    <t>Ante la duda, deja la fila vacia. Un municipio tratado por error fija una cohorte espuria y sesga el estimador; un faltante solo atenua hacia cero, que es la direccion en la que ya esta documentado el sesgo.</t>
  </si>
  <si>
    <t>Fuente ANT</t>
  </si>
  <si>
    <t>Resguardo Indigena Formalizado, Agencia Nacional de Tierras, portal de Datos Abiertos. 968 resguardos. Descargado por el usuario.</t>
  </si>
  <si>
    <t>Fuente creditos</t>
  </si>
  <si>
    <t>OffsetsDB (CarbonPlan), campo issued, registry=cercarbono, protocol=ccb-redd.</t>
  </si>
  <si>
    <t>ID</t>
  </si>
  <si>
    <t>NOMBRE</t>
  </si>
  <si>
    <t>PUEBLO</t>
  </si>
  <si>
    <t>DEPARTAMENTO</t>
  </si>
  <si>
    <t>MUNICIPIO</t>
  </si>
  <si>
    <t>AREA_TOTAL_ACTOS_ADMIN</t>
  </si>
  <si>
    <t>Resguardo Indígena Embera Buchado Amparrado</t>
  </si>
  <si>
    <t>EMBERA</t>
  </si>
  <si>
    <t>27</t>
  </si>
  <si>
    <t>27099</t>
  </si>
  <si>
    <t>Resguardo Indígena Paez de Nasa Kiwe</t>
  </si>
  <si>
    <t>PAEZ</t>
  </si>
  <si>
    <t>18</t>
  </si>
  <si>
    <t>18592</t>
  </si>
  <si>
    <t>Resguardo Indígena Coreguaje Asentada en la Regiones De Puerto Naranjo, Peñas Rojas, Cuerazo, El Diamante</t>
  </si>
  <si>
    <t>COREGUAJE</t>
  </si>
  <si>
    <t>18756</t>
  </si>
  <si>
    <t>Resguardo Indígena Embera de Peña Blanca - Rio Truando</t>
  </si>
  <si>
    <t>EMBERA KATIO</t>
  </si>
  <si>
    <t>27615</t>
  </si>
  <si>
    <t>Resguardo Indígena Embera-Katio de Playalta, El Veinte y El Noventa</t>
  </si>
  <si>
    <t>QUIBDO</t>
  </si>
  <si>
    <t>Resguardo Unido U´Wa Cubara De Tunebo</t>
  </si>
  <si>
    <t>U´WA</t>
  </si>
  <si>
    <t>15</t>
  </si>
  <si>
    <t>15223</t>
  </si>
  <si>
    <t>Resguardo Indígena Omaga</t>
  </si>
  <si>
    <t>ZENÚ</t>
  </si>
  <si>
    <t>05</t>
  </si>
  <si>
    <t>05120</t>
  </si>
  <si>
    <t>Resguardo Indígena Vinollanogrande</t>
  </si>
  <si>
    <t>PIJAO</t>
  </si>
  <si>
    <t>73</t>
  </si>
  <si>
    <t>73675</t>
  </si>
  <si>
    <t>Resguardo Indígena Guahibo -Puinave de Laguna Curvina - Sapuara</t>
  </si>
  <si>
    <t>GUAHIBO PUINAVE</t>
  </si>
  <si>
    <t>94</t>
  </si>
  <si>
    <t>94343</t>
  </si>
  <si>
    <t>Resguardo Indígena Piapoco de Kawaneruba</t>
  </si>
  <si>
    <t>PIAPOCO</t>
  </si>
  <si>
    <t>99</t>
  </si>
  <si>
    <t>99773</t>
  </si>
  <si>
    <t>Resguardo Indígena San Miguel</t>
  </si>
  <si>
    <t>NASA</t>
  </si>
  <si>
    <t>41</t>
  </si>
  <si>
    <t>41396</t>
  </si>
  <si>
    <t>Resguardo Indígena Pijao de Hilarquito</t>
  </si>
  <si>
    <t>73217</t>
  </si>
  <si>
    <t>Resguardo Indígena Bachaco BuenaVista</t>
  </si>
  <si>
    <t>PUINAVE</t>
  </si>
  <si>
    <t>94001</t>
  </si>
  <si>
    <t>Resguardo Indígena Embera Embera y Piapoco de los Rios Muco y Guarrojo</t>
  </si>
  <si>
    <t>GUAHIBO</t>
  </si>
  <si>
    <t>99001</t>
  </si>
  <si>
    <t>Resguardo Indígena Embera de Pared y Parecito</t>
  </si>
  <si>
    <t>27160</t>
  </si>
  <si>
    <t>Resguardo Indígena Nuevo Espinal</t>
  </si>
  <si>
    <t>WAYUU</t>
  </si>
  <si>
    <t>44</t>
  </si>
  <si>
    <t>44078</t>
  </si>
  <si>
    <t>Resguardo Indígena Nuevo Porvenir del Pueblo Zenú</t>
  </si>
  <si>
    <t>23</t>
  </si>
  <si>
    <t>23672</t>
  </si>
  <si>
    <t>Resguardo Indígena inga de San Antonio Del Fragua</t>
  </si>
  <si>
    <t>INGA</t>
  </si>
  <si>
    <t>18094</t>
  </si>
  <si>
    <t>Resguardo Indígena Pijao de Chenche Socorro Los Guayabos</t>
  </si>
  <si>
    <t>Resguardo Indígena Inga de Las Brisas</t>
  </si>
  <si>
    <t>18610</t>
  </si>
  <si>
    <t>Resguardo Indígena Guahibo de Los Rios Tomo y Los Caños Urimica y Samarro</t>
  </si>
  <si>
    <t>Resguardo Indigena El Redentor De Marañonal</t>
  </si>
  <si>
    <t>ZENU</t>
  </si>
  <si>
    <t>23555</t>
  </si>
  <si>
    <t>Resguardo Indígena Flor Del Monte</t>
  </si>
  <si>
    <t>EMBERA CHAMI</t>
  </si>
  <si>
    <t>66</t>
  </si>
  <si>
    <t>66088</t>
  </si>
  <si>
    <t>Resguardo Indígena Kogui - Malayo y Arhuaco</t>
  </si>
  <si>
    <t>KOGUI MALAYO ARHUACO</t>
  </si>
  <si>
    <t>47</t>
  </si>
  <si>
    <t>47001</t>
  </si>
  <si>
    <t>Resguardo Indígena Vania Chami de Argelia</t>
  </si>
  <si>
    <t>76</t>
  </si>
  <si>
    <t>76054</t>
  </si>
  <si>
    <t>Resguardo Indígena Embera  Aguaclara Y Bella Luz Del Rio Amporá</t>
  </si>
  <si>
    <t>27025</t>
  </si>
  <si>
    <t>Resguardo Indígena de Corocoro</t>
  </si>
  <si>
    <t>CURRIPACO Y OTROS</t>
  </si>
  <si>
    <t>95</t>
  </si>
  <si>
    <t>95001</t>
  </si>
  <si>
    <t>Resguardo Indigena de Camaritagua</t>
  </si>
  <si>
    <t>YUCUNA, MIRAÑA, TAMINUCA Y OTROS</t>
  </si>
  <si>
    <t>91</t>
  </si>
  <si>
    <t>91407</t>
  </si>
  <si>
    <t>Resguardo Indígena Embera del Rio Jarapeto</t>
  </si>
  <si>
    <t>05847</t>
  </si>
  <si>
    <t>Resguardo Indígena Inga La Paya</t>
  </si>
  <si>
    <t>86</t>
  </si>
  <si>
    <t>86573</t>
  </si>
  <si>
    <t>Resguardo Indígena Embera - Catio de "El Pital" - Narikizavi</t>
  </si>
  <si>
    <t>05234</t>
  </si>
  <si>
    <t>Resguardo Indígena Paez de La Esperanza</t>
  </si>
  <si>
    <t>Resguardo Indígena Waunana del Rio Orpua</t>
  </si>
  <si>
    <t>WAUNANA</t>
  </si>
  <si>
    <t>27077</t>
  </si>
  <si>
    <t>Resguardo Indígena Waunana - Paraje de Tiosilidio</t>
  </si>
  <si>
    <t>27361</t>
  </si>
  <si>
    <t>Resguardo Indígena Coreguaje de El Porvenir Kananguchal</t>
  </si>
  <si>
    <t>Resguardo Indígena Rumiyaco</t>
  </si>
  <si>
    <t>PASTOS</t>
  </si>
  <si>
    <t>52</t>
  </si>
  <si>
    <t>52356</t>
  </si>
  <si>
    <t>Resguardo Indígena Paez de Las Delicias</t>
  </si>
  <si>
    <t>19</t>
  </si>
  <si>
    <t>19110</t>
  </si>
  <si>
    <t>Resguardo Indígena Pijao de San Diego</t>
  </si>
  <si>
    <t>73504</t>
  </si>
  <si>
    <t>Resguardo Indígena Inga San Joaquin</t>
  </si>
  <si>
    <t>19701</t>
  </si>
  <si>
    <t>Resguardo Indígena Coreguaje de Jacome</t>
  </si>
  <si>
    <t>18460</t>
  </si>
  <si>
    <t>Resguardo Indígena Pijao de Zaragoza Tamarindo</t>
  </si>
  <si>
    <t>Resguardo Indígena Pijao Nueva Esperanza</t>
  </si>
  <si>
    <t>Resguardo Indígena Saliva asentada en el Paraje El Consejo</t>
  </si>
  <si>
    <t>SALIVA</t>
  </si>
  <si>
    <t>85</t>
  </si>
  <si>
    <t>85230</t>
  </si>
  <si>
    <t>Resguardo Indígena El Noventa</t>
  </si>
  <si>
    <t>Zenú</t>
  </si>
  <si>
    <t>05250</t>
  </si>
  <si>
    <t>Resguardo Indígena Embera de Alto Rio Buey</t>
  </si>
  <si>
    <t>27001</t>
  </si>
  <si>
    <t>Resguardo Indígena Pijao de Balsillas</t>
  </si>
  <si>
    <t>ORTEGA</t>
  </si>
  <si>
    <t>Resguardo Indígena Embera Chami Dachi Drua Chami</t>
  </si>
  <si>
    <t>76834</t>
  </si>
  <si>
    <t>Resguardo Indígena Embera de  Alto Bonito Vira Vira</t>
  </si>
  <si>
    <t>27205</t>
  </si>
  <si>
    <t>Resguardo Indígena Waunana  de Burujon o La Unión-San Bernardo</t>
  </si>
  <si>
    <t>76109</t>
  </si>
  <si>
    <t>Resguardo Indígena Embera del Rio Pangui</t>
  </si>
  <si>
    <t>27495</t>
  </si>
  <si>
    <t>Resguardo Indígena Yanacona de Villa Maria De Anamu</t>
  </si>
  <si>
    <t>YANACONA</t>
  </si>
  <si>
    <t>PUTUMAYO</t>
  </si>
  <si>
    <t>MOCOA</t>
  </si>
  <si>
    <t>Resguardo Indígena Embera del Rio Purricha</t>
  </si>
  <si>
    <t>Resguardo Indígena Chenche Angostura</t>
  </si>
  <si>
    <t>Resguardo Indígena Pijao La Sortija</t>
  </si>
  <si>
    <t>Resguardo Indígena Sikuani De Vencedor, Piriri, Guamito, Matanegra, Siniquiba, Sisiba, Lindatan, Chaparral y Remanso</t>
  </si>
  <si>
    <t>SIKUANI</t>
  </si>
  <si>
    <t>50</t>
  </si>
  <si>
    <t>PUERTO GAITÁN</t>
  </si>
  <si>
    <t>Resguardo Indígena Uitiboc</t>
  </si>
  <si>
    <t>UITOTO, TICUNA, BORA, COCAMA, OCAINA, INGANO, ANDOQUE</t>
  </si>
  <si>
    <t>91001</t>
  </si>
  <si>
    <t>Resguardo Indígena Tata Drua</t>
  </si>
  <si>
    <t>63</t>
  </si>
  <si>
    <t>63548</t>
  </si>
  <si>
    <t>Resguardo Indígena Bellavista del pueblo Zenú</t>
  </si>
  <si>
    <t>70</t>
  </si>
  <si>
    <t>70221</t>
  </si>
  <si>
    <t>Resguardo Indígena Ticuna de Zaragoza</t>
  </si>
  <si>
    <t>TICUNA</t>
  </si>
  <si>
    <t>Resguardo Indígena Kiloka Playa Verde</t>
  </si>
  <si>
    <t>Resguardo Indígena Pijao de Recinto Palmarosa</t>
  </si>
  <si>
    <t>Resguardo Indigena Kankuamo</t>
  </si>
  <si>
    <t>KANKUAMO</t>
  </si>
  <si>
    <t>20</t>
  </si>
  <si>
    <t>20001</t>
  </si>
  <si>
    <t>Resguardo Indígena Guahibo - Parreros</t>
  </si>
  <si>
    <t>81</t>
  </si>
  <si>
    <t>81794</t>
  </si>
  <si>
    <t>Resguardo Indígena Nasa Kiwe Fxiw del pueblo Nasa</t>
  </si>
  <si>
    <t>Resguardo Indígena Tama - Paez La Gabriela</t>
  </si>
  <si>
    <t>TAMAS PAEZ</t>
  </si>
  <si>
    <t>41001</t>
  </si>
  <si>
    <t>Resguardo Indígena Nasa La Nueva Esperanza</t>
  </si>
  <si>
    <t>Resguardo Indígena Chimilas O Cacahueros (Issa Oristuna)</t>
  </si>
  <si>
    <t>CHIMILAS</t>
  </si>
  <si>
    <t>47660</t>
  </si>
  <si>
    <t>Resguardo Indígena Caucapa Pungu  Floresta</t>
  </si>
  <si>
    <t>19533</t>
  </si>
  <si>
    <t>Resguardo Indígena Puerto Samaria</t>
  </si>
  <si>
    <t>Resguardo Indígena Embera del Rio Domingodo</t>
  </si>
  <si>
    <t>Resguardo Indígena Awa de Ramos - Mongon - Manchuria</t>
  </si>
  <si>
    <t>AWA</t>
  </si>
  <si>
    <t>52612</t>
  </si>
  <si>
    <t>Resguardo Indígena Korodo-Ite</t>
  </si>
  <si>
    <t>05604</t>
  </si>
  <si>
    <t>Resguardo Indígena Awa de Bellavista</t>
  </si>
  <si>
    <t>86320</t>
  </si>
  <si>
    <t>Resguardo Indígena Mesas De San Juan</t>
  </si>
  <si>
    <t>Resguardo Indígena Embera - Chami Peñas Del Olvido</t>
  </si>
  <si>
    <t>27787</t>
  </si>
  <si>
    <t>Resguardo Indígena Yukpa de Caño Padilla</t>
  </si>
  <si>
    <t>YUKPA</t>
  </si>
  <si>
    <t>20621</t>
  </si>
  <si>
    <t>Resguardo Indígena Cañon Del Sanquinini</t>
  </si>
  <si>
    <t>EMBERA CHAMI KATIO</t>
  </si>
  <si>
    <t>76100</t>
  </si>
  <si>
    <t>Resguardo Indígena Tucan de Caño Giriza y Puerto La Palma</t>
  </si>
  <si>
    <t>DESANO CUBEO TUCANO SIIRIANO PIRIATAPUYO CARIJONA Y MAKU</t>
  </si>
  <si>
    <t>95200</t>
  </si>
  <si>
    <t>Resguardo Indígena Guahibo Macarieros</t>
  </si>
  <si>
    <t>Resguardo Indígena Embera- Katio de Choromando Alto y Medio</t>
  </si>
  <si>
    <t>Resguardo Indígena Agua Blanca Piedra Verde del pueblo Awá</t>
  </si>
  <si>
    <t>Resguardo Indígena Nataroco</t>
  </si>
  <si>
    <t>73483</t>
  </si>
  <si>
    <t>Resguardo Indígena Awa de Inda Zabaleta</t>
  </si>
  <si>
    <t>52835</t>
  </si>
  <si>
    <t>Resguardo Indígena Embera Drua</t>
  </si>
  <si>
    <t>DABEIBA</t>
  </si>
  <si>
    <t>Resguardo Indígena Inga de La Floresta - La Española</t>
  </si>
  <si>
    <t>Resguardo Indígena Emebera Yarumal y El Barranco</t>
  </si>
  <si>
    <t>Resguardo Indígena Gua´uwa Rawri´uwa</t>
  </si>
  <si>
    <t>U'WA</t>
  </si>
  <si>
    <t>85136</t>
  </si>
  <si>
    <t>Resguardo Indígena El Tablero</t>
  </si>
  <si>
    <t>SIONA KOFAN INGA HUITOTO</t>
  </si>
  <si>
    <t>Resguardo Indígena  Pijao de Aico</t>
  </si>
  <si>
    <t>Resguardo Indígena Awa De Cañaveral</t>
  </si>
  <si>
    <t>Resguardo Indígena Embera-Chami de La Cristalina</t>
  </si>
  <si>
    <t>27245</t>
  </si>
  <si>
    <t>Resguardo Indígena Embera del Rio Negua</t>
  </si>
  <si>
    <t>Resguardo Indígena Embera y Waunan de "Nussí Purrú"</t>
  </si>
  <si>
    <t>EMBERA WAUNANA</t>
  </si>
  <si>
    <t>27372</t>
  </si>
  <si>
    <t>Resguardo Indígena Runakuna Kutin Urkuman Quin</t>
  </si>
  <si>
    <t>63302</t>
  </si>
  <si>
    <t>Resguardo Indígena Awá La Turbia</t>
  </si>
  <si>
    <t>86885</t>
  </si>
  <si>
    <t>Resguardo Indígena Wayuu de Provincial</t>
  </si>
  <si>
    <t>Resguardo Indígena Zenú de San Andres De Sotavento</t>
  </si>
  <si>
    <t>23670</t>
  </si>
  <si>
    <t>Resguardo Indígena Wopomuin Junain Maikou</t>
  </si>
  <si>
    <t>44430</t>
  </si>
  <si>
    <t>Resguardo Indígena Sikuani De Iwiwi</t>
  </si>
  <si>
    <t>50568</t>
  </si>
  <si>
    <t>Resguardo Indígena Paez de Santa Rosa Juanambu, Campo Alegre, Alpes Orientales, La Floresta Alto Coqueto.</t>
  </si>
  <si>
    <t>Resguardo Indígena Yuco de Socorpa</t>
  </si>
  <si>
    <t>YUCO YUKPA</t>
  </si>
  <si>
    <t>20045</t>
  </si>
  <si>
    <t>Resguardo Indígena Arhuaca de Businchama</t>
  </si>
  <si>
    <t>ARHUACO</t>
  </si>
  <si>
    <t>Resguardo Indígena Naexil Put</t>
  </si>
  <si>
    <t>JIW</t>
  </si>
  <si>
    <t>50450</t>
  </si>
  <si>
    <t>Resguardo Indígena Waunana de Bellavista y Union Pitalito</t>
  </si>
  <si>
    <t>Resguardo Indígena Waunana de Buenavista</t>
  </si>
  <si>
    <t>Resguardo Indígena Guahibo-Piapoco de Arrecifal</t>
  </si>
  <si>
    <t>Resguardo Indígena San Sebastian del Pueblo Pastos</t>
  </si>
  <si>
    <t>86568</t>
  </si>
  <si>
    <t>Resguardo Indígena Embera de Urada Jiguamiando</t>
  </si>
  <si>
    <t>27150</t>
  </si>
  <si>
    <t>Resguardo Indígena Embera De Lanas</t>
  </si>
  <si>
    <t>27413</t>
  </si>
  <si>
    <t>Resguardo Indígena Embera Chami de Alto Orito</t>
  </si>
  <si>
    <t>Resguardo Indígena Quizgo (Kizgo)</t>
  </si>
  <si>
    <t>19743</t>
  </si>
  <si>
    <t>Resguardo Indígena Guahibo de Guacamayas y Maipore</t>
  </si>
  <si>
    <t>Resguardo Indígena Guambiano de Nam Misak</t>
  </si>
  <si>
    <t xml:space="preserve">MISAK </t>
  </si>
  <si>
    <t>Resguardo Indígena Embera Katio El Dieciocho</t>
  </si>
  <si>
    <t>Resguardo Indígena Pijao de Chenche Balsillas</t>
  </si>
  <si>
    <t>Resguardo Indígena de Jebala</t>
  </si>
  <si>
    <t>NASA PAEZ</t>
  </si>
  <si>
    <t>19824</t>
  </si>
  <si>
    <t>Witack Kiwe</t>
  </si>
  <si>
    <t>Resguardo Indígena Rural de Mateo Pérez del Pueblo Zenú</t>
  </si>
  <si>
    <t>70670</t>
  </si>
  <si>
    <t>Resguardo Indígena Guahibo  de Carpintero-  Palomas</t>
  </si>
  <si>
    <t>Resguardo Indígena Sibundoy (Kamëntsa Biya De Sibundoy)</t>
  </si>
  <si>
    <t>KAMSA</t>
  </si>
  <si>
    <t>86749</t>
  </si>
  <si>
    <t>Resguardo Indígena Embera del Rio Ame</t>
  </si>
  <si>
    <t>Resguardo Indígena Embera de los Rios Valle y Boroboro</t>
  </si>
  <si>
    <t>27075</t>
  </si>
  <si>
    <t>Resguardo Indígena Páez de Toez</t>
  </si>
  <si>
    <t>PÁEZ</t>
  </si>
  <si>
    <t>76113</t>
  </si>
  <si>
    <t>Resguardo Indígena Yaporogos Taira</t>
  </si>
  <si>
    <t>73563</t>
  </si>
  <si>
    <t>Resguardo Indígena Embera Dobida Dogibi</t>
  </si>
  <si>
    <t>EMBERA DOBIDA</t>
  </si>
  <si>
    <t>27800</t>
  </si>
  <si>
    <t>Resguardo Indígena Nasa de Cerro Tijeras</t>
  </si>
  <si>
    <t>19780</t>
  </si>
  <si>
    <t>Resguardo Indígena Awa de Chagui, Chimbuza, Vegas, San Antonio, Candiyas, Quelbi, Nalbu, Balsal, Bajo Nembiy Chapilal Cimarron</t>
  </si>
  <si>
    <t>RICAURTE</t>
  </si>
  <si>
    <t>Resguardo Indígena Embera-Chami Drua Do</t>
  </si>
  <si>
    <t>76828</t>
  </si>
  <si>
    <t>Resguardo Indígena Daidrua</t>
  </si>
  <si>
    <t>63130</t>
  </si>
  <si>
    <t>Resguardo Indígena Pijao Mercadillo</t>
  </si>
  <si>
    <t>Resguardo Indígena Embera de Jagual Rio Chintado</t>
  </si>
  <si>
    <t>Resguardo Indígena Piapoco / Sikuani-Guahibo de Chigüiro</t>
  </si>
  <si>
    <t>PIAPOCO SIKUANI GUAHIBO</t>
  </si>
  <si>
    <t>Resguardo Indígena Nasa Paez de Llano Buco - Bukj Ukue</t>
  </si>
  <si>
    <t>41483</t>
  </si>
  <si>
    <t>Resguardo Indígena Nasa Banderas del Recaibo</t>
  </si>
  <si>
    <t>18753</t>
  </si>
  <si>
    <t>Resguardo Indígena Awa Kwaiker de Cuasbi - La Faldada</t>
  </si>
  <si>
    <t>Resguardo Indígena Zince La 18</t>
  </si>
  <si>
    <t>05895</t>
  </si>
  <si>
    <t>Resguardo Indígena Embera Katio de San Pablo El Para</t>
  </si>
  <si>
    <t>18001</t>
  </si>
  <si>
    <t>Resguardo Indígena Chicala Pijao</t>
  </si>
  <si>
    <t>Resguardo Indígena Wayuu de Okochi</t>
  </si>
  <si>
    <t>Wayuu</t>
  </si>
  <si>
    <t>Maicao</t>
  </si>
  <si>
    <t>Resguardo Indígena Embera del Rio Torreido</t>
  </si>
  <si>
    <t>Resguardo Indígena Kuinsminda</t>
  </si>
  <si>
    <t>AWÁ</t>
  </si>
  <si>
    <t>Resguardo Indígena Awa Piedra Sellada - Quebrada Tronqueria</t>
  </si>
  <si>
    <t>Resguardo Indígena Waunana de Cabeceras o Puerto Pizario</t>
  </si>
  <si>
    <t>Resguardo Indígena Guahibo de Matecandela</t>
  </si>
  <si>
    <t>81001</t>
  </si>
  <si>
    <t>Resguardo Indígena Embera-Katio de Jaikerazavi</t>
  </si>
  <si>
    <t>MUTATÁ</t>
  </si>
  <si>
    <t>Resguardo Indígena Embera de Alto Rio Bojaya</t>
  </si>
  <si>
    <t>Resguardo Indígena Coreguaje de Jerico-Consaya</t>
  </si>
  <si>
    <t>Resguardo Indígena Nasa Yu Lucx - Hijos del Agua</t>
  </si>
  <si>
    <t>Resguardo Indígena Coreguaje de Gorgonia</t>
  </si>
  <si>
    <t>CAQUETÁ</t>
  </si>
  <si>
    <t>FLORENCIA</t>
  </si>
  <si>
    <t>Resguardo Indígena de Paso Ancho</t>
  </si>
  <si>
    <t>PIJAO COYAIMA.</t>
  </si>
  <si>
    <t>Resguardo Indígena Waunana de Puado, La Lerma, Matare y Terdo</t>
  </si>
  <si>
    <t>Resguardo Indígena Santa Rosa Del Guamuez</t>
  </si>
  <si>
    <t>KOFAN INGA</t>
  </si>
  <si>
    <t>Resguardo Indígena Kokonuco y Yanacona de Paletara</t>
  </si>
  <si>
    <t>KOKONUCO  YANACONA</t>
  </si>
  <si>
    <t>19585</t>
  </si>
  <si>
    <t>Resguardo Indígena de Venezuela O Panure</t>
  </si>
  <si>
    <t>GUAYABERO</t>
  </si>
  <si>
    <t>Resguardo Indígena Embera de Chimurro y Nendo</t>
  </si>
  <si>
    <t>Resguardo Indígena Embera de los Rios Pato y Jengado</t>
  </si>
  <si>
    <t>Resguardo Indígena de Cusumbe - Agua Blanca</t>
  </si>
  <si>
    <t>18860</t>
  </si>
  <si>
    <t>Resguardo Indígena Pijao Floral Tradicional</t>
  </si>
  <si>
    <t>Resguardo Indígena Inga Bajo Chuspizacha del pueblo Inga</t>
  </si>
  <si>
    <t>Resguardo Indígena Awa de Palmar Imbi</t>
  </si>
  <si>
    <t>Resguardo Indígena Tama Del Caguan</t>
  </si>
  <si>
    <t>TAMAS</t>
  </si>
  <si>
    <t>41615</t>
  </si>
  <si>
    <t>Resguardo Indígena Wasapana Dagua</t>
  </si>
  <si>
    <t>AMORUA</t>
  </si>
  <si>
    <t>Resguardo Indígena Embera-Katio de Majoré- Ambura</t>
  </si>
  <si>
    <t>Resguardo Indígena Puinave Y Piapoco De Guaco Bajo - Guaco Alto</t>
  </si>
  <si>
    <t>Puinvae y Piapoco</t>
  </si>
  <si>
    <t>Resguardo Indígena Awa de Cuchilla Palmar</t>
  </si>
  <si>
    <t>Resguardo Indígena Ticuna Nazaret</t>
  </si>
  <si>
    <t>Resguardo Indígena Embera Chami La Libertad 2</t>
  </si>
  <si>
    <t>Resguardo Indígena Arhuaca O Ijke (Arhuaco De La Sierra)</t>
  </si>
  <si>
    <t>IJKA</t>
  </si>
  <si>
    <t>Resguardo Indigena Paez de Kokonuco</t>
  </si>
  <si>
    <t>Resguardo Indígena Dos Quebradas</t>
  </si>
  <si>
    <t>Resguardo Indígena Emebera-Katio de Santa Maria -  El Charcon</t>
  </si>
  <si>
    <t>URAMITA</t>
  </si>
  <si>
    <t>Resguardo Indígena Witoto del paraje de Puerto Zabalo y Los Monos</t>
  </si>
  <si>
    <t>HUITOTO</t>
  </si>
  <si>
    <t>Resguardo Indígena Ico Valle del Anape</t>
  </si>
  <si>
    <t>73067</t>
  </si>
  <si>
    <t>Resguardo Indígena Awa de Honda Rio Guiza</t>
  </si>
  <si>
    <t>52079</t>
  </si>
  <si>
    <t>Resguardo Indígena Embera-Katio La Cerinda</t>
  </si>
  <si>
    <t>Resguardo Indígena Nasa Paez de Cxayu'Ce Fxiw</t>
  </si>
  <si>
    <t>19130</t>
  </si>
  <si>
    <t>Resguardo Indígena Muchidó</t>
  </si>
  <si>
    <t>27580</t>
  </si>
  <si>
    <t>Resguardo Indigena Naexal Lajt</t>
  </si>
  <si>
    <t>50325</t>
  </si>
  <si>
    <t>Resguardo Indígena Paez de Zit-Set Del Quecal</t>
  </si>
  <si>
    <t>Resguardo Indígena Emebera Calle Santa Rosa</t>
  </si>
  <si>
    <t>19809</t>
  </si>
  <si>
    <t>Resguardo Indígena Páez de Huellas</t>
  </si>
  <si>
    <t>19142</t>
  </si>
  <si>
    <t>Resguardo Indígena Paez de Tumburao</t>
  </si>
  <si>
    <t>Resguardo Indígena Awa De Los Guaduales</t>
  </si>
  <si>
    <t>ORITO</t>
  </si>
  <si>
    <t>Resguardo Indígena Guahibo Genareros  - ( denominados La Esperanza, La Fortaleza y El Totumo)</t>
  </si>
  <si>
    <t>Resguardo Indígena Embera de San Jose Amia De Pato</t>
  </si>
  <si>
    <t>Resguardo Indígena Huitoto De Jirijiri</t>
  </si>
  <si>
    <t>WITOTO</t>
  </si>
  <si>
    <t>Resguardo Indígena Embera - Katio de Chontadural - Cañero</t>
  </si>
  <si>
    <t>05480</t>
  </si>
  <si>
    <t>Resguardo Indígena Embera-Katio de Las Playas</t>
  </si>
  <si>
    <t>05045</t>
  </si>
  <si>
    <t>Resguardo Indígena Embera Katio El Cedrito</t>
  </si>
  <si>
    <t>18410</t>
  </si>
  <si>
    <t>Resguardo Indígena Huitoto - Paraje de Witora O Huitora</t>
  </si>
  <si>
    <t>Resguardo Indígena Embera de Bajo Grande</t>
  </si>
  <si>
    <t>Resguardo Indígena Castañal De Los Lagos</t>
  </si>
  <si>
    <t>TIKUNA</t>
  </si>
  <si>
    <t>Resguardo Indígena Embera de Chuscal y Tuguridocito</t>
  </si>
  <si>
    <t>Resguardo Indígena de los Rios Miriti Parana (La Pedrera)</t>
  </si>
  <si>
    <t>YUCUNA Y OTROS</t>
  </si>
  <si>
    <t>Resguardo Indígena Pasto De Iles</t>
  </si>
  <si>
    <t>52352</t>
  </si>
  <si>
    <t>Resguardo Indígena Awa de Cuaiquer Integrado La Milagrosa</t>
  </si>
  <si>
    <t>Resguardo Indígena Wayuu Amaiseo</t>
  </si>
  <si>
    <t>WAYUÚ</t>
  </si>
  <si>
    <t>Resguardo Indígena Shuiroog-Rt Piedra Veradal de los Pueblos Piunave y Piapoco</t>
  </si>
  <si>
    <t>PUINAVE / PIAPOCO</t>
  </si>
  <si>
    <t>Resguardo Indígena Jai Ziaya Bain</t>
  </si>
  <si>
    <t>SIONA</t>
  </si>
  <si>
    <t>Resguardo Indígena La Montaña</t>
  </si>
  <si>
    <t>52678</t>
  </si>
  <si>
    <t>Resguardo Indígena Embera (Chami) Nabera Drua</t>
  </si>
  <si>
    <t>76606</t>
  </si>
  <si>
    <t>Resguardo Indígena Paez de las Brisas (Nasa Kwe´s Kiwe)</t>
  </si>
  <si>
    <t>76275</t>
  </si>
  <si>
    <t>Resguardo Indígena Fiil Vist La Perdiz</t>
  </si>
  <si>
    <t>41668</t>
  </si>
  <si>
    <t>Resguardo Indígena Day Drua Las Palmeras</t>
  </si>
  <si>
    <t>KOFAN</t>
  </si>
  <si>
    <t>86865</t>
  </si>
  <si>
    <t>Resguardo Indígena Los Pastos San Jose del Pepino</t>
  </si>
  <si>
    <t>86001</t>
  </si>
  <si>
    <t>Resguardo Indígena Emebra - Katio de Chaquenoda</t>
  </si>
  <si>
    <t>05284</t>
  </si>
  <si>
    <t>Resguardo Indígena Pijao El Tambo</t>
  </si>
  <si>
    <t>Resguardo Indígena Embera-Katio Quebrada Cañaveral</t>
  </si>
  <si>
    <t>23580</t>
  </si>
  <si>
    <t>Resguardo Indígena Sikuani y Puinave de Cumaral - Guamuco</t>
  </si>
  <si>
    <t>PUINAVE Y SIKUANI</t>
  </si>
  <si>
    <t>Resguardo Indígena de Calenturas</t>
  </si>
  <si>
    <t>Resguardo Indígena Natacoy Pijao</t>
  </si>
  <si>
    <t>Pijao</t>
  </si>
  <si>
    <t>Natagaima</t>
  </si>
  <si>
    <t>Resguardo Indígena Piapoco de Murcielago - Altamira</t>
  </si>
  <si>
    <t>Resguardo Indígena Kofan de Ukumari Kankhe</t>
  </si>
  <si>
    <t xml:space="preserve">KOFAN
</t>
  </si>
  <si>
    <t>Resguardo Indígena Guelmambi El Bombo</t>
  </si>
  <si>
    <t>Resguardo Indígena Yajotja Kjeübünakja</t>
  </si>
  <si>
    <t>WAUPIJIWI</t>
  </si>
  <si>
    <t>99524</t>
  </si>
  <si>
    <t>Resguardo Indígena Guahibo de Guacamayas-Mamiyare</t>
  </si>
  <si>
    <t>Resguardo Indígena Carupia</t>
  </si>
  <si>
    <t>Resguardo Indígena Aco Viejo Patio Bonito</t>
  </si>
  <si>
    <t>Resguardo Indígena Embera - Chami de Suratena</t>
  </si>
  <si>
    <t>66440</t>
  </si>
  <si>
    <t>Resguardo Indígena Pijao, Tucano y Piratapuyo Llanos Del Yari - Yaguara II</t>
  </si>
  <si>
    <t>Resguardo Indígena Nonuya de Villazul</t>
  </si>
  <si>
    <t>MUINANE Y OTROS</t>
  </si>
  <si>
    <t>Resguardo Indígena Puinave Y Piapoco De Paujil</t>
  </si>
  <si>
    <t>Puinave Y Piapoco</t>
  </si>
  <si>
    <t>Resguardo Indígena Guahibo de Valdivia</t>
  </si>
  <si>
    <t>Resguardo Indígena Witoto de Tukunare</t>
  </si>
  <si>
    <t>Resguardo Indígena Guahibo de Cajaros</t>
  </si>
  <si>
    <t>81065</t>
  </si>
  <si>
    <t>Resguardo indígena Guayaberos de Macuare</t>
  </si>
  <si>
    <t>Resguardo Indígena Pasto de Funes</t>
  </si>
  <si>
    <t>52287</t>
  </si>
  <si>
    <t>Resguardo Indígena Nasa Paez Potrerito</t>
  </si>
  <si>
    <t>Resguardo Indígena Yukpa de Laguna - El Coso - Cinco Caminos</t>
  </si>
  <si>
    <t>Resguardo Indígena Embera Almorzadero, San Isidro y la Nueva Union</t>
  </si>
  <si>
    <t>EPERARA SIAPIDARA</t>
  </si>
  <si>
    <t>Resguardo Indígena Guahibo de Bayoneros</t>
  </si>
  <si>
    <t>Resguardo Indígena Fiw Paez</t>
  </si>
  <si>
    <t>Resguardo Indígena Guahibo de Cuiloto II</t>
  </si>
  <si>
    <t>Resguardo Indígena Embera de Guadualito</t>
  </si>
  <si>
    <t>Resguardo Indígena Santa Rosa Sucumbios y El Diviso</t>
  </si>
  <si>
    <t>Resguardo Indígena Guambiano y Paez de La Reforma</t>
  </si>
  <si>
    <t>PÁEZ Y GUAMBIANO</t>
  </si>
  <si>
    <t>La Plata</t>
  </si>
  <si>
    <t>Resguardo Indígena Guanano de Charco Caiman</t>
  </si>
  <si>
    <t>GUANANO</t>
  </si>
  <si>
    <t>Resguardo Indígena Embera-Katio de Honduras</t>
  </si>
  <si>
    <t>Resguardo Indígena de Yunguillo</t>
  </si>
  <si>
    <t>Resguardo Indígena Embera del Rio Nuqui</t>
  </si>
  <si>
    <t>Resguardo Indígena Witoto del Paraje Monochoa</t>
  </si>
  <si>
    <t>Resguardo Indígena Guahibo Puyeros</t>
  </si>
  <si>
    <t>Resguardo Indígena San Pedro Alcantara de la Sabaneta</t>
  </si>
  <si>
    <t>Resguardo Indígena Ticuna de San Antonio de Los Lagos y San Sebastian</t>
  </si>
  <si>
    <t>Resguardo Indígena Pijao de Chaquira</t>
  </si>
  <si>
    <t>Resguardo Indígena Embera (Eperara-Siapidara) de el Turbio y Bacao (Rio Satinga)</t>
  </si>
  <si>
    <t>EPARARA SIAPIDARA TRUA</t>
  </si>
  <si>
    <t>NARIÑO</t>
  </si>
  <si>
    <t>OLAYA HERRERA</t>
  </si>
  <si>
    <t>Resguardo Indígena Pijao San Miguel</t>
  </si>
  <si>
    <t>Resguardo Indígena Velu Centro</t>
  </si>
  <si>
    <t>Resguardo Indígena Embera de Perancho</t>
  </si>
  <si>
    <t>Resguardo Indígena El Arenal</t>
  </si>
  <si>
    <t>Resguardo Indígena Kofan Campoalegre del Afilador</t>
  </si>
  <si>
    <t>SAN MIGUEL</t>
  </si>
  <si>
    <t>Resguardo Indígena Paez de Poblazon</t>
  </si>
  <si>
    <t>19001</t>
  </si>
  <si>
    <t>Resguardo Indígena Selva De Mataven</t>
  </si>
  <si>
    <t>SIKAUNI, PIAROA, PUINAVE, PIAPOCO, CUBEO, CURRIPACO</t>
  </si>
  <si>
    <t>Resguardo Indígena Curripaco de Tonina, Sejal, San Jose y Otras</t>
  </si>
  <si>
    <t>CURRIPACO</t>
  </si>
  <si>
    <t>Resguardo Indígena Inga de Blasiaku</t>
  </si>
  <si>
    <t>Resguardo Indígena Pijao Santa Marta Inspeccion</t>
  </si>
  <si>
    <t>Resguardo Indígena Embera Chami Dachi Agore Drua</t>
  </si>
  <si>
    <t>Resguardo Indígena Komuya Amena</t>
  </si>
  <si>
    <t>MURUI MUINA</t>
  </si>
  <si>
    <t>Resguardo Indígena Coreguaje de Getucha</t>
  </si>
  <si>
    <t>Resguardo Indígena Waunana - Paraje de San Antonio de Togorama</t>
  </si>
  <si>
    <t>Resguardo Indígena Inga De Santiago</t>
  </si>
  <si>
    <t>86760</t>
  </si>
  <si>
    <t>Resguardo Indígena Inga de San Rafael</t>
  </si>
  <si>
    <t>PIAMONTE</t>
  </si>
  <si>
    <t>Resguardo Indígena Motilon Bari</t>
  </si>
  <si>
    <t>MOTILON BARI</t>
  </si>
  <si>
    <t>54</t>
  </si>
  <si>
    <t>54245</t>
  </si>
  <si>
    <t>Resguardo Indígena Pijao de Olirco</t>
  </si>
  <si>
    <t>Resguardo Indígena Triunfo Cristal Paez</t>
  </si>
  <si>
    <t>Resguardo Indígena Embera Katio de Gegora, Quipara, Murando, Tiravenado y Jiguado</t>
  </si>
  <si>
    <t>Resguardo Indígena Inga Runa Alpa Wasi del pueblo Inga</t>
  </si>
  <si>
    <t>Resguardo Indígena Embera Chami Cacique Queragama</t>
  </si>
  <si>
    <t>Resguardo Indígena Yachay Wasi</t>
  </si>
  <si>
    <t>Cabildo Indígena Valle Hermoso</t>
  </si>
  <si>
    <t>Resguardo Inga de San Miguel De La Castellana</t>
  </si>
  <si>
    <t>Resguardo Indígena Nasa We' Sx Kiwe La Gaitana</t>
  </si>
  <si>
    <t>Resguardo Indígena Embera Chami La Italia</t>
  </si>
  <si>
    <t>Resguardo Indígena de Mocagua</t>
  </si>
  <si>
    <t>Resguardo Indígena Nukat Maleiwua (Bendicion De Dios)</t>
  </si>
  <si>
    <t>Resguardo Indígena Yukuna-Cubeo de Curare Los Ingleses</t>
  </si>
  <si>
    <t>YUCUNA Y CUBEO</t>
  </si>
  <si>
    <t>Resguardo Indígena Siona Santa Cruz De Pinuña Blanco</t>
  </si>
  <si>
    <t>PUERTO ASIS</t>
  </si>
  <si>
    <t>Resguardo Indígena Pijao de Mesa De Ortega</t>
  </si>
  <si>
    <t>Resguardo Indígena Nasa de Kitek Kiwe</t>
  </si>
  <si>
    <t>19807</t>
  </si>
  <si>
    <t>Resguardo Indígena Pijao El Vergel</t>
  </si>
  <si>
    <t>Resguardo Indígena Wayuu Rodeito - El Pozo</t>
  </si>
  <si>
    <t>44378</t>
  </si>
  <si>
    <t>Resguardo Indígena Embera - Eperara de Ordo-Siviru-Aguaclara</t>
  </si>
  <si>
    <t>Resguardo Indígena Alto Naporuna del pueblo Kichwa</t>
  </si>
  <si>
    <t>KICHWA</t>
  </si>
  <si>
    <t>Resguardo Indígena Wayuu de la Alta Y Media Guajira</t>
  </si>
  <si>
    <t>Resguardo Indígena Waunan de Puerto Chichiliano</t>
  </si>
  <si>
    <t>Resguardo Indígena Embera de Wanchirado</t>
  </si>
  <si>
    <t>Resguardo Indígena Embera asentada en la Zona Infi</t>
  </si>
  <si>
    <t>Resguardo Indígena Rio Cuiari e Isana</t>
  </si>
  <si>
    <t>94887</t>
  </si>
  <si>
    <t>Resguardo Indígena de Arquia</t>
  </si>
  <si>
    <t>CUNA</t>
  </si>
  <si>
    <t>27006</t>
  </si>
  <si>
    <t>Resguardo Indígena Witoto de Amenanae (Charco del Niño Dios)
Witoto de Mesai (Nombre Nuevo)</t>
  </si>
  <si>
    <t>Resguardo Indígena Pijao Totarco - Piedras</t>
  </si>
  <si>
    <t>COYAIMA</t>
  </si>
  <si>
    <t>Resguardo indígena Canoas</t>
  </si>
  <si>
    <t>19698</t>
  </si>
  <si>
    <t>Resguardo Indígena Paez Altamira</t>
  </si>
  <si>
    <t>Resguardo Indígena Paez de Corinto</t>
  </si>
  <si>
    <t>Resguardo Indígena Wuna´Apuchon Loma Fresca</t>
  </si>
  <si>
    <t>44001</t>
  </si>
  <si>
    <t>Resguardo Indígena Awia Tuparro</t>
  </si>
  <si>
    <t>Resguardo Indígena Tunebo de Sabanas de Curipao</t>
  </si>
  <si>
    <t>TUNEBO</t>
  </si>
  <si>
    <t>0TAME</t>
  </si>
  <si>
    <t>Resguardo Indígena Embera del Rio Napipi</t>
  </si>
  <si>
    <t>CHOCÓ</t>
  </si>
  <si>
    <t>BOJAYA</t>
  </si>
  <si>
    <t>Resguardo Indígena Wayuu de Trupiogacho y La Meseta</t>
  </si>
  <si>
    <t>Resguardo Indígena GUAMBIANA LA BONANZA</t>
  </si>
  <si>
    <t>GUAMBIANO</t>
  </si>
  <si>
    <t>13473</t>
  </si>
  <si>
    <t>Resguardo Indígena Embera Katio de Cuti</t>
  </si>
  <si>
    <t>Resguardo Indígena Wayuu de Potrerito</t>
  </si>
  <si>
    <t>44098</t>
  </si>
  <si>
    <t xml:space="preserve">Resguardo Indígena Kofan </t>
  </si>
  <si>
    <t>Resguardo Indígena Nukanchipa Alpa Amukunapa Wasi</t>
  </si>
  <si>
    <t>Resguardo Indígena Altos del Tigre</t>
  </si>
  <si>
    <t>Cácerees</t>
  </si>
  <si>
    <t>Resguardo Indígena Pijao de Potrerito Doyare</t>
  </si>
  <si>
    <t>Resguardo Indígena Wayuu de Una'Apüchon</t>
  </si>
  <si>
    <t>Resguardo Indígena Pijao Zanja Honda</t>
  </si>
  <si>
    <t>Resguardo Indígena Aizama del Pueblo Embera Chami</t>
  </si>
  <si>
    <t>63111</t>
  </si>
  <si>
    <t>Resguardo Indígena Witoto de Agua Negra</t>
  </si>
  <si>
    <t>Resguardo Indígena Guayabero de La Sal</t>
  </si>
  <si>
    <t>50577</t>
  </si>
  <si>
    <t>Resguardo Indígena Casica Ibanasca</t>
  </si>
  <si>
    <t>Resguardo Indígena Sikuani de Nueva Esperanza del Tomo</t>
  </si>
  <si>
    <t>SUKUANI</t>
  </si>
  <si>
    <t>99624</t>
  </si>
  <si>
    <t>Resguardo Indígena Embera (Eperara) Rio Naya</t>
  </si>
  <si>
    <t>Resguardo Indígena de Chaluayaco</t>
  </si>
  <si>
    <t>Resguardo Indígena Leonardo Jose Campanario</t>
  </si>
  <si>
    <t>Resguardo Indígena Awa Unión La Dorada Pi Ishpul</t>
  </si>
  <si>
    <t>86757</t>
  </si>
  <si>
    <t>Resguardo Indígena Embera del Alto Río Cuia</t>
  </si>
  <si>
    <t>Embera</t>
  </si>
  <si>
    <t>Resguardo Indígena Saliva Corregimiento de Santa Rosalia</t>
  </si>
  <si>
    <t>Resguardo Indígena La Sardina</t>
  </si>
  <si>
    <t>Resguardo Indígena Bajo Mirador Yanacona del pueblo Yanacona</t>
  </si>
  <si>
    <t>Resguardo Indígena Rio Alto De San Juan</t>
  </si>
  <si>
    <t>05664</t>
  </si>
  <si>
    <t>Resguardo Indígena Ticuna de San Juan de Los Parentes</t>
  </si>
  <si>
    <t>Resguardo Indígena Nasa Kiwe del Pueblo Nasa</t>
  </si>
  <si>
    <t>Resguardo Indígena de Totarco Dinde Independiente</t>
  </si>
  <si>
    <t>Resguardo Indígena Yukpa de El Rosario, Bellavista y Yucatan</t>
  </si>
  <si>
    <t>Resguardo Indígena Raices De Oriente</t>
  </si>
  <si>
    <t>19548</t>
  </si>
  <si>
    <t>Resguardo Indígena Wayu Pizia de Las Delicias</t>
  </si>
  <si>
    <t>LA GUAJIRA</t>
  </si>
  <si>
    <t>RIOHACHA</t>
  </si>
  <si>
    <t>Resguardo Indígena La Chinita</t>
  </si>
  <si>
    <t>05736</t>
  </si>
  <si>
    <t>Resguardo Indígena Inga De Condagua</t>
  </si>
  <si>
    <t>Resguardo Indígena Páez de Jambaló</t>
  </si>
  <si>
    <t>19364</t>
  </si>
  <si>
    <t>Resguardo Indígena Chiquinima</t>
  </si>
  <si>
    <t>Resguardo Indígena Paez de Guadualito</t>
  </si>
  <si>
    <t>Resguardo Indígena Inkal Awa</t>
  </si>
  <si>
    <t>Resguardo Indígena Guahibo Julieros y Velasqueros</t>
  </si>
  <si>
    <t>Resguardo Indígena Embera Katio de Chidima - Tolo</t>
  </si>
  <si>
    <t>Resguardo Indígena Embera Chami de Escopetera-Pirza</t>
  </si>
  <si>
    <t>17</t>
  </si>
  <si>
    <t>17614</t>
  </si>
  <si>
    <t>Resguardo Indígena Sikuani de Punta Bandera</t>
  </si>
  <si>
    <t>Resguardo Indígena Awa de Playa Larga</t>
  </si>
  <si>
    <t>Resguardo Indígena Awa de Nunalbi Alto Ulbi</t>
  </si>
  <si>
    <t>Resguardo Indígena Embera de Pueblito de la Quebrada Querá</t>
  </si>
  <si>
    <t>Resguardo Indígena Guayabero de Barranco Colorado</t>
  </si>
  <si>
    <t>Resguardo Indígena Pijao de Potrerito</t>
  </si>
  <si>
    <t>Resguardo Indígena Inga De Wasipanga</t>
  </si>
  <si>
    <t>Resguardo Indígena Nasa Paez de Jerusalen - San Luis - Alto Picudito</t>
  </si>
  <si>
    <t>Resguardo Indígena Bajo Remanso</t>
  </si>
  <si>
    <t>Resguardo Indígena Karamandu</t>
  </si>
  <si>
    <t>05579</t>
  </si>
  <si>
    <t>Resguardo Indígena Rio Atabapo</t>
  </si>
  <si>
    <t>CURRIPACO Y PUINAVE</t>
  </si>
  <si>
    <t>Resguardo Indígena Ancestral y Sitios Sagrados del Asentamiento Indígena Porvenir Meta - Aseinpome</t>
  </si>
  <si>
    <t>KUBEO / SIKUANI</t>
  </si>
  <si>
    <t>Resguardo Indígena Unificado Chami</t>
  </si>
  <si>
    <t>66572</t>
  </si>
  <si>
    <t>Resguardo Indígena Los Angeles del pueblo Nasa</t>
  </si>
  <si>
    <t>Resguardo Indígena Bajo Rio Guainia Y Rio Negro</t>
  </si>
  <si>
    <t>Resguardo Indígena Wayuu de el Caimito, La Ceiba, Madre Vieja y el Paraiso "Caicemapa"</t>
  </si>
  <si>
    <t>44279</t>
  </si>
  <si>
    <t>Resguardo Indígena Pasto Nuevo Horizonte</t>
  </si>
  <si>
    <t>Resguardo Indígena Guayabero La Fuga</t>
  </si>
  <si>
    <t>Resguardo Indígena Poincos Taira del Pueblo Pijao</t>
  </si>
  <si>
    <t>Resguardo Indigena Puerto Córdoba</t>
  </si>
  <si>
    <t>Resguardo Indígena Pijao de Vuelta Del Rio</t>
  </si>
  <si>
    <t>Resguardo Indígena U´wa de Laguna Tranquila</t>
  </si>
  <si>
    <t>Resguardo Indígena Nasa Kiwe Use Nueva Palestina</t>
  </si>
  <si>
    <t>Resguardo Indígena Guahibo de La Esperanza</t>
  </si>
  <si>
    <t>Resguardo Indígena Sikuani - El Zamuro</t>
  </si>
  <si>
    <t>Resguardo Indígena Embera-Katio de Andabu</t>
  </si>
  <si>
    <t>Resguardo Indígena Awa Ñambi Piedra Verde</t>
  </si>
  <si>
    <t>Resguardo Indígena Wayuu de Monte Harmon</t>
  </si>
  <si>
    <t>Resguardo Indígena Awa de Gualcalá</t>
  </si>
  <si>
    <t>Resguardo Indígena Yanacona El Paraiso</t>
  </si>
  <si>
    <t>19397</t>
  </si>
  <si>
    <t>Resguardo Indígena Embera de Puerto Antioquia</t>
  </si>
  <si>
    <t>Resguardo Indígena Coreguaje de San Miguel</t>
  </si>
  <si>
    <t>Resguardo Indígena de Polindara</t>
  </si>
  <si>
    <t>Resguardo Indígena Pijao de Guadualito</t>
  </si>
  <si>
    <t>Resguardo Indígena Gualeras</t>
  </si>
  <si>
    <t>Resguardo Indígena San Gabriel</t>
  </si>
  <si>
    <t>Resguardo Indígena Waunana de Nuevo Pitalito</t>
  </si>
  <si>
    <t>Resguardo Indígena Paez de La Paila - Naya</t>
  </si>
  <si>
    <t>Resguardo Indígena Nasa Paez La Estación Talaga</t>
  </si>
  <si>
    <t>Resguardo Indígena Campoalegre</t>
  </si>
  <si>
    <t>Resguardo Indígena Waunana de Santa Rosa De Ijua</t>
  </si>
  <si>
    <t>Resguardo Indígena Embera de Puerto Libia Tripicay</t>
  </si>
  <si>
    <t>Resguardo Indígena Piapoco de Cananama</t>
  </si>
  <si>
    <t>81220</t>
  </si>
  <si>
    <t>Resguardo Indigena Siona de Buenavista</t>
  </si>
  <si>
    <t>Resguardo Indígena Jai Dukama</t>
  </si>
  <si>
    <t>05790</t>
  </si>
  <si>
    <t>Resguardo Indígena Wayuu de Cerrodeo</t>
  </si>
  <si>
    <t>Resguardo Indígena Inga-Kichwa La Perecera</t>
  </si>
  <si>
    <t>INGA  KICHWA</t>
  </si>
  <si>
    <t>Resguardo Indígena Ticuna y Cocoma de La Playa</t>
  </si>
  <si>
    <t>TICUNA Y COCAMA</t>
  </si>
  <si>
    <t>Resguardo Indígena Paez de Pathyú</t>
  </si>
  <si>
    <t>Resguardo Indígena Zenu Del Volao</t>
  </si>
  <si>
    <t>05490</t>
  </si>
  <si>
    <t>Resguardo Indígena Embera de Opogado Doguado</t>
  </si>
  <si>
    <t>Resguardo Indígena Nasa Paez de Yu Yik Kwe</t>
  </si>
  <si>
    <t>76233</t>
  </si>
  <si>
    <t>Resguardo Indígena Vegas De Segovia</t>
  </si>
  <si>
    <t>Resguardo Indígena Nasa Paez - Pickwe Tha Fiw</t>
  </si>
  <si>
    <t>19517</t>
  </si>
  <si>
    <t>Resguardo Indígena Embera Chami de Simorna</t>
  </si>
  <si>
    <t>Resguardo Indígena Nasa Uss del pueblo Nasa</t>
  </si>
  <si>
    <t>Resguardo Indígena Embera Katio del Rio Murindo</t>
  </si>
  <si>
    <t>05475</t>
  </si>
  <si>
    <t>Resguardo Indígena Murui Monilla Amena</t>
  </si>
  <si>
    <t>MURUI MUINANE</t>
  </si>
  <si>
    <t>Resguardo Indígena Paez de La Florida</t>
  </si>
  <si>
    <t>Resguardo Indígena Awa de Agua Blanca</t>
  </si>
  <si>
    <t>Resguardo Indígena Embera (Eperara Siapidara) Chonara Huena</t>
  </si>
  <si>
    <t>Resguardo Indígena Kofan-Inga de Yarinal - San Marcelino, Amaron</t>
  </si>
  <si>
    <t>Carlosama</t>
  </si>
  <si>
    <t>Resguardo Indígena Yanacona de Santa Marta</t>
  </si>
  <si>
    <t>Resguardo Indígena Coreguaje de Maticurú</t>
  </si>
  <si>
    <t>Resguardo Indígena Chenche Tunarco del Pueblo Pijao</t>
  </si>
  <si>
    <t>Resguardo Indígena Coreguaje de La Teofila</t>
  </si>
  <si>
    <t>Resguardo Indígena Embera-Katio de La Julia</t>
  </si>
  <si>
    <t>50370</t>
  </si>
  <si>
    <t>Resguardo Indígena Pickwe Ikh</t>
  </si>
  <si>
    <t>41378</t>
  </si>
  <si>
    <t>Resguardo Indígena Ticuna, Cocama y Yagua - Ticoya</t>
  </si>
  <si>
    <t>TICUNA COCAMA YAGUA</t>
  </si>
  <si>
    <t>91540</t>
  </si>
  <si>
    <t>Resguardo Indígena Pijao Palermo</t>
  </si>
  <si>
    <t>Resguardo Indígena Embera Katio de Abejero</t>
  </si>
  <si>
    <t>Resguardo Indígena San Jose De Isnos</t>
  </si>
  <si>
    <t>41359</t>
  </si>
  <si>
    <t>Resguardo Indígena Eperara - Siapidaara de Quebrada Grande</t>
  </si>
  <si>
    <t>52696</t>
  </si>
  <si>
    <t>Resguardo Indígena Tamirco</t>
  </si>
  <si>
    <t>Resguardo Indígena Gran Putumayo</t>
  </si>
  <si>
    <t>Resguardo Indígena Misak Piscitau</t>
  </si>
  <si>
    <t>MISAK</t>
  </si>
  <si>
    <t>Resguardo Indígena Embera de la Quebrada Chique-Rio Tangui</t>
  </si>
  <si>
    <t>Resguardo Indígena Inti Yaku</t>
  </si>
  <si>
    <t>19622</t>
  </si>
  <si>
    <t>Resguardo Indígena Inga Villa Catalina de Puerto Rosario</t>
  </si>
  <si>
    <t>86571</t>
  </si>
  <si>
    <t>Resguardo Indígena Embera Katio de El Fiera</t>
  </si>
  <si>
    <t>EL CARMEN DE ATRATO</t>
  </si>
  <si>
    <t>Resguardo Indígena Pijao Yaco Molana</t>
  </si>
  <si>
    <t>Resguardo Indígena Embera Chami La Albania</t>
  </si>
  <si>
    <t>17616</t>
  </si>
  <si>
    <t>Resguardo Indígena Ticuna-Huitoto  Kilometro 6 Y 11</t>
  </si>
  <si>
    <t>WITOTO TICUNA</t>
  </si>
  <si>
    <t>Resguardo Indígena Inga de Mandiyaco</t>
  </si>
  <si>
    <t>Resguardo Indígena Pijao Santa Marta - Palmar</t>
  </si>
  <si>
    <t>Resguardo Indígena Pijao de Totarco Dinde Tradicional</t>
  </si>
  <si>
    <t>Resguardo Indígena del Rio La Playa</t>
  </si>
  <si>
    <t>Resguardo Indígena Nacuanedorro Tuparro</t>
  </si>
  <si>
    <t>MAPAYERRI</t>
  </si>
  <si>
    <t>Resguardo Indígena Yaberarado</t>
  </si>
  <si>
    <t>05172</t>
  </si>
  <si>
    <t>Resguardo Indígena De Cumbal</t>
  </si>
  <si>
    <t>52227</t>
  </si>
  <si>
    <t>Resguardo Indígena Embera Katio de El Silencio</t>
  </si>
  <si>
    <t>resguardo indígena Waunana del río Pichimá</t>
  </si>
  <si>
    <t>Resguardo Indígena Chami - (Eriom Garrapatas)</t>
  </si>
  <si>
    <t>Resguardo Indígena El Rosal</t>
  </si>
  <si>
    <t>41503</t>
  </si>
  <si>
    <t>Resguardo Indígena Inga De San Pedro</t>
  </si>
  <si>
    <t>Resguardo Indígena Tumbichucue</t>
  </si>
  <si>
    <t>19355</t>
  </si>
  <si>
    <t>Resguardo Indígena de Puerto Monfort</t>
  </si>
  <si>
    <t>SIRIANO, GUANANO, CUBEO, TUCANO Y DESANO</t>
  </si>
  <si>
    <t>Resguardo Indígena Awa de Kejuambi Feliciana</t>
  </si>
  <si>
    <t>Resguardo Indígena Piapoco y Guahibo de Minitas - Miralindo</t>
  </si>
  <si>
    <t>PIAPOCO GUAHIVO</t>
  </si>
  <si>
    <t>Resguardo Indígena Paez de Bache</t>
  </si>
  <si>
    <t>41524</t>
  </si>
  <si>
    <t>Resguardo Indígena Pijao Guaipa Centro</t>
  </si>
  <si>
    <t>Resguardo Indígena Embera Katio de Guarandó Carrizal</t>
  </si>
  <si>
    <t>Resguardo Indígena Paez de Calderas</t>
  </si>
  <si>
    <t>Resguardo Indígena Paez de La Gaitana</t>
  </si>
  <si>
    <t>Resguardo Indígena de Comeyafu</t>
  </si>
  <si>
    <t>Resguardo Indígena Guambiano Nuevo Amanecer La Meseta</t>
  </si>
  <si>
    <t>Resguardo Indígena Embera - Katio de Valle De Perdidas</t>
  </si>
  <si>
    <t>Resguardo Indígena Uwa de Cibariza</t>
  </si>
  <si>
    <t>81300</t>
  </si>
  <si>
    <t>Resguardo Indígena Yaigoje - Rio Apaporis</t>
  </si>
  <si>
    <t>TANIMUCA</t>
  </si>
  <si>
    <t>91460</t>
  </si>
  <si>
    <t>Resguardo Indígena Guayaberos de Barrancon</t>
  </si>
  <si>
    <t>Resguardo Indígena Pitulumana I y II</t>
  </si>
  <si>
    <t>44035</t>
  </si>
  <si>
    <t>Resguardo Indígena Inga De Niñeras</t>
  </si>
  <si>
    <t>Resguardo Indígena Tikuna YoiKm 5800 del pueblo Tikuna</t>
  </si>
  <si>
    <t>Resguardo Indígena Embera de Santa Cecilia de la Quebrada Oro Choco</t>
  </si>
  <si>
    <t>Resguardo Indígena Zenú de Los Almendros</t>
  </si>
  <si>
    <t>Resguardo Indígena Integrado Eden Cartagena</t>
  </si>
  <si>
    <t>Resguardo Indígena Saunde Guiguay</t>
  </si>
  <si>
    <t>Resguardo Indígena Ancore Drua</t>
  </si>
  <si>
    <t>76736</t>
  </si>
  <si>
    <t>Resguardo Indígena Arara, Bacatí, Carurú y Lagos de Jamaicurú</t>
  </si>
  <si>
    <t>TUCANO Y OTROS</t>
  </si>
  <si>
    <t>97</t>
  </si>
  <si>
    <t>97001</t>
  </si>
  <si>
    <t>Resguardo Indígena Yanacona de Guachicono</t>
  </si>
  <si>
    <t>Resguardo Indígena Inga de Wasipungo</t>
  </si>
  <si>
    <t>Resguardo Indígena Kwe´Sx Yu Kiwe</t>
  </si>
  <si>
    <t>Resguardo Indígena Inga de Cecilia Cocha</t>
  </si>
  <si>
    <t>Resguardo Indígena Chigorodo Memba</t>
  </si>
  <si>
    <t>27430</t>
  </si>
  <si>
    <t>Resguardo Indígena Embera Chami de Doxura</t>
  </si>
  <si>
    <t>76246</t>
  </si>
  <si>
    <t>Resguardo Indígena Dachi Bedea</t>
  </si>
  <si>
    <t>Resguardo Indígena Pijao de La Tatacoa</t>
  </si>
  <si>
    <t>41872</t>
  </si>
  <si>
    <t>Resguardo Indígena Awa de Chinguirito Mira</t>
  </si>
  <si>
    <t>Resguardo Indígena Alberto Pushaina</t>
  </si>
  <si>
    <t>Resguardo Indígena Misak de San Antonio</t>
  </si>
  <si>
    <t>19473</t>
  </si>
  <si>
    <t>Resguardo Indígena Eperara Siapidaara de Morrito</t>
  </si>
  <si>
    <t>52250</t>
  </si>
  <si>
    <t>Resguardo Indígena Quillacinga de Refugio Del Sol</t>
  </si>
  <si>
    <t>QUILLACINGA</t>
  </si>
  <si>
    <t>52001</t>
  </si>
  <si>
    <t>Resguardo Indígena Embera Chami de Altomira</t>
  </si>
  <si>
    <t>Resguardo Indígena Embera Gegenado</t>
  </si>
  <si>
    <t>Resguardo Indígena Embera de La Lomita</t>
  </si>
  <si>
    <t>Resguardo Indígena Awa de la Turbia</t>
  </si>
  <si>
    <t>Resguardo Indígena Katio</t>
  </si>
  <si>
    <t>KATIO</t>
  </si>
  <si>
    <t>Resguardo Indígena Embera de los Rios Dominic,  Londoño y Apartado</t>
  </si>
  <si>
    <t>Resguardo Indígena Chicuambe Las Brisas</t>
  </si>
  <si>
    <t>Resguardo Indígena Inkal Watzal Awa</t>
  </si>
  <si>
    <t>Resguardo Indígena Motordochaque Alto Nacaberwua</t>
  </si>
  <si>
    <t>15572</t>
  </si>
  <si>
    <t>Resguardo Indígena Coreguaje de Hericha</t>
  </si>
  <si>
    <t>Resguardo Indígena Pijao de Imba</t>
  </si>
  <si>
    <t>Resguardo Indígena Mhuysqa Chuta Fa Aba "Los Hijos Del Maiz"</t>
  </si>
  <si>
    <t>MUISCA</t>
  </si>
  <si>
    <t>25</t>
  </si>
  <si>
    <t>25736</t>
  </si>
  <si>
    <t>Resguardo Indígena Muisca de Fonqueta y Cerca de Piedra</t>
  </si>
  <si>
    <t>25175</t>
  </si>
  <si>
    <t>Resguardo Indígena Embera La Iguana</t>
  </si>
  <si>
    <t>19418</t>
  </si>
  <si>
    <t>Resguardo Indígena Paez de El Descanso</t>
  </si>
  <si>
    <t>Resguardo Indígena Dai Umadamia</t>
  </si>
  <si>
    <t>76250</t>
  </si>
  <si>
    <t>Resguardo Indígena Katio de Tokolloro</t>
  </si>
  <si>
    <t>Resguardo Indígena Quintin Lame</t>
  </si>
  <si>
    <t>Resguardo Indígena Paez El Guayabal</t>
  </si>
  <si>
    <t>Resguardo Indígena Tierra Nueva (As Pejenas) - Cuiloto Marrero</t>
  </si>
  <si>
    <t>HITNU MAKAGUAN</t>
  </si>
  <si>
    <t>Resguardo Indígena De Muellamuez</t>
  </si>
  <si>
    <t>GUACHUCAL</t>
  </si>
  <si>
    <t>Resguardo Indígena Embera Chami Bajo Caceres</t>
  </si>
  <si>
    <t>Resguardo Indígena Awa de Cuasbi - Paldubi</t>
  </si>
  <si>
    <t>Resguardo Indígena Camentsa Biya</t>
  </si>
  <si>
    <t>CAMENTZA</t>
  </si>
  <si>
    <t>Resguardo Indígena Muchajagua del pueblo Zenu</t>
  </si>
  <si>
    <t>23686</t>
  </si>
  <si>
    <t>Resguardo Indígena Buena Vista Meche</t>
  </si>
  <si>
    <t>Resguardo Indígena Huitoto de Coropoya</t>
  </si>
  <si>
    <t>Resguardo Indígena Irrualu</t>
  </si>
  <si>
    <t>WAYÚU</t>
  </si>
  <si>
    <t>Resguardo Indígena Waunana de Chachajo</t>
  </si>
  <si>
    <t>Resguardo Indígena La Pascua</t>
  </si>
  <si>
    <t>GUAHIBO, CUIVA, PIAPOCO</t>
  </si>
  <si>
    <t>Resguardo Indígena Sumain Wayuu Uuliana</t>
  </si>
  <si>
    <t>Resguardo Indígena Eperara Siapidara de Nueva Bellavista y Partidero</t>
  </si>
  <si>
    <t>19318</t>
  </si>
  <si>
    <t>Resguardo indígena Embera Rios Uva Pogue, Quebrada Taparal</t>
  </si>
  <si>
    <t>Resguardo Indígena Pijao Balsillas Limon</t>
  </si>
  <si>
    <t>Resguardo Indígena Wayuu de Mañature</t>
  </si>
  <si>
    <t>Resguardo Indígena Sikuani de Domo Planas</t>
  </si>
  <si>
    <t>Resguardo Indígena Awa de Damasco Vides</t>
  </si>
  <si>
    <t>86569</t>
  </si>
  <si>
    <t>Resguardo Indígena San Luis</t>
  </si>
  <si>
    <t>Resguardo Indígena Suma Iuiai</t>
  </si>
  <si>
    <t>Resguardo Indígena de Patio Bonito</t>
  </si>
  <si>
    <t>Resguardo Indígena Embera-Katio de Polines</t>
  </si>
  <si>
    <t>CHIGORODO</t>
  </si>
  <si>
    <t>Resguardo Indígena Selvas Del Putumayo</t>
  </si>
  <si>
    <t>Resguardo Indígena Nasa Kiwe Tekh Ksxaw</t>
  </si>
  <si>
    <t>Resguardo Indígena Paez de La Aguadita</t>
  </si>
  <si>
    <t>Resguardo Indígena Saliva de El Medano</t>
  </si>
  <si>
    <t>Resguardo Indígena San Juan Paez Loma Gorda</t>
  </si>
  <si>
    <t>Páez</t>
  </si>
  <si>
    <t>Resguardo Indígena Puinave y Curripaco de Morichal Viejo - Santa Rosa, Cerro Cucuy, Santa Cruz, Caño Danta</t>
  </si>
  <si>
    <t>PUINAVE CURRIPACO / EMBERA KATIO</t>
  </si>
  <si>
    <t>95025</t>
  </si>
  <si>
    <t>Resguardo Indígena Pijao Diamante</t>
  </si>
  <si>
    <t>Resguardo Indígena Embera Katio de Sever</t>
  </si>
  <si>
    <t>Resguardo Indígena Embera Miasa De Partado</t>
  </si>
  <si>
    <t>Resguardo Indígena Senú Los Almendros</t>
  </si>
  <si>
    <t>05659</t>
  </si>
  <si>
    <t>Resguardo Indígena Kamentsa - Inga de San Francisco</t>
  </si>
  <si>
    <t>KAMENTSA  INGA</t>
  </si>
  <si>
    <t>86755</t>
  </si>
  <si>
    <t>Resguardo Indígena Kwe´Sx Uma Kiwe (Nuestra Madre Tierra) del pueblo Nasa</t>
  </si>
  <si>
    <t>Awa</t>
  </si>
  <si>
    <t>Resguardo Indígena Vaupes</t>
  </si>
  <si>
    <t>CUBEO Y 18 GRUPOS MAS</t>
  </si>
  <si>
    <t>Resguardo Indígena Embera - Cholo Del Rio Guangüi</t>
  </si>
  <si>
    <t>Resguardo Indígena Awa de El Cedro, Las Peñas, La Brava, Pilví y La Pintada</t>
  </si>
  <si>
    <t>Resguardo Indígena Rumiñawi</t>
  </si>
  <si>
    <t>Resguardo Indígena Embera del Rio Pavasa y la Quebrada Jella</t>
  </si>
  <si>
    <t>BAJO BAUDO</t>
  </si>
  <si>
    <t>Resguardo Indígena Embera de Paina</t>
  </si>
  <si>
    <t>Resguardo Indígena Guahibo de Wacoyo de los Caserios de Corocito,Yopalito y Gualabo</t>
  </si>
  <si>
    <t>Resguardo Indígena Nasa, Pueblo Nuevo Ceral</t>
  </si>
  <si>
    <t>Resguardo Indígena Embera El Veintiuno</t>
  </si>
  <si>
    <t>Resguardo Indígena Coreguaje de Consara - Mecaya</t>
  </si>
  <si>
    <t>Resguardo Indígena Inga de Puerto Limon</t>
  </si>
  <si>
    <t>Resguardo Indígena Alnamawami del Pueblo Awá</t>
  </si>
  <si>
    <t>Resguardo Indígena Emebera Chami de La Mirla</t>
  </si>
  <si>
    <t>05789</t>
  </si>
  <si>
    <t>Resguardo Indígena Zenu del Alto San Jorge</t>
  </si>
  <si>
    <t>SENU</t>
  </si>
  <si>
    <t>Resguardo Indígena El Saladillo</t>
  </si>
  <si>
    <t>Resguardo Indígena Kiwe Zxicxkwe Tierra Linda</t>
  </si>
  <si>
    <t>Resguardo Indígena Yanacona El Moral</t>
  </si>
  <si>
    <t>19392</t>
  </si>
  <si>
    <t>Resguardo Indígena Santa Barbara</t>
  </si>
  <si>
    <t>Resguardo Indígena Yukpa de Menkue, Misaya y La Pista</t>
  </si>
  <si>
    <t>20013</t>
  </si>
  <si>
    <t>Resguardo Indígena Embera Katio de Sanandocito</t>
  </si>
  <si>
    <t>27745</t>
  </si>
  <si>
    <t>Resguardo Indígena Piapoco de Cali-Barranquilla</t>
  </si>
  <si>
    <t>Resguardo Indígena Embera de Guaguando</t>
  </si>
  <si>
    <t>05873</t>
  </si>
  <si>
    <t>Resguardo Indígena Chimborazo</t>
  </si>
  <si>
    <t>Resguardo Indígena Guahibo y Puinave de Carrizal</t>
  </si>
  <si>
    <t>Resguardo Indígena Awa de Inda Guacaray</t>
  </si>
  <si>
    <t>Resguardo Indígena Unión Wouunan Noonan</t>
  </si>
  <si>
    <t>WOUNAAN</t>
  </si>
  <si>
    <t>Resguardo Indígena Embera de Mungarado</t>
  </si>
  <si>
    <t>Resguardo Indígena Pijao La Flecha Altozano</t>
  </si>
  <si>
    <t>Resguardo Indígena Tunebo De Angosturas</t>
  </si>
  <si>
    <t>Resguardo Indígena Paez Ondas Del Cafre</t>
  </si>
  <si>
    <t>50330</t>
  </si>
  <si>
    <t>Resguardo Indígena Nuevo Milenio del Pueblo Misak</t>
  </si>
  <si>
    <t>Resguardo Indígena Sikuani de Muco - Mayoragua</t>
  </si>
  <si>
    <t>Resguardo Indígena Guambiano de La Maria</t>
  </si>
  <si>
    <t>Resguardo Indígena Piedra Sagrada La Gran Familia de los Pastos</t>
  </si>
  <si>
    <t>Resguardo Indígena Embera-Chami La Maria (Marcelilno Tascon)</t>
  </si>
  <si>
    <t>05856</t>
  </si>
  <si>
    <t>Resguardo Indígena Awa de Santa Rosita</t>
  </si>
  <si>
    <t>Resguardo Indígena Embera de Tarena</t>
  </si>
  <si>
    <t>Resguardo Indígena Calara San Martin</t>
  </si>
  <si>
    <t>Resguardo Indígena Puinave y Sikuani de Laguna Niñal, Cocuy, Loma Baja y Loma Alta del Caño Guariben</t>
  </si>
  <si>
    <t>41551</t>
  </si>
  <si>
    <t>Resguardo Indígena Muisca De Cota</t>
  </si>
  <si>
    <t>25214</t>
  </si>
  <si>
    <t>Resguardo Indígena de La Trina</t>
  </si>
  <si>
    <t>17777</t>
  </si>
  <si>
    <t>Resguardo Indígena Predio Putumayo</t>
  </si>
  <si>
    <t>Resguardo Indígena Bajo Santa Helena</t>
  </si>
  <si>
    <t>Resguardo Indígena Florida Kawinanae</t>
  </si>
  <si>
    <t>SIKUANI Y PIAPOCO</t>
  </si>
  <si>
    <t>Resguardo Indígena Cocama Isla De Ronda</t>
  </si>
  <si>
    <t>COCAMA</t>
  </si>
  <si>
    <t>Resguardo Indígena Lagos el Dorado, Lagos del Paso y El Remanso</t>
  </si>
  <si>
    <t>Resguardo Indígena Jose de los Santos del pueblo Senu</t>
  </si>
  <si>
    <t>Resguardo Indígena Cofan Tssenene</t>
  </si>
  <si>
    <t>Resguardo Indígena Eperara Siapidara de San Agustin La Floresta</t>
  </si>
  <si>
    <t>EPARARA</t>
  </si>
  <si>
    <t>Resguardo Indígena Pijao de Pocara</t>
  </si>
  <si>
    <t>Resguardo Indígena Paez De La Gaitanía</t>
  </si>
  <si>
    <t>73555</t>
  </si>
  <si>
    <t>Resguardo Indígena Inga De San Miguel</t>
  </si>
  <si>
    <t>Resguardo Indígena Embera de los Rios Jurubida, Chori y Alto Baudo</t>
  </si>
  <si>
    <t>Resguardo Indígena de Totarco Niple</t>
  </si>
  <si>
    <t>Resguardo Indígena Inga De Colon</t>
  </si>
  <si>
    <t>86219</t>
  </si>
  <si>
    <t>Resguardo Indígena Uwa de Valles Del Sol</t>
  </si>
  <si>
    <t>81736</t>
  </si>
  <si>
    <t>Resguardo Indígena Pijao de Chenche Amayarco</t>
  </si>
  <si>
    <t>Resguardo Indígena Wayuu de El Zaino, Guayabito y Muriaytuy</t>
  </si>
  <si>
    <t>Resguardo Indígena Tikuna de los Rios Cotuhe y Putumayo</t>
  </si>
  <si>
    <t>Resguardo Indígena Nukak Maku</t>
  </si>
  <si>
    <t>NUKAK</t>
  </si>
  <si>
    <t>Resguardo Indígena Inga de Descanse</t>
  </si>
  <si>
    <t>Resguardo Indígena Paez de Parraga  - Nasa tha</t>
  </si>
  <si>
    <t>Paez</t>
  </si>
  <si>
    <t>FLORIDA</t>
  </si>
  <si>
    <t>Resguardo Indígena Tucano de La Yuquera</t>
  </si>
  <si>
    <t>TUCANO</t>
  </si>
  <si>
    <t>95015</t>
  </si>
  <si>
    <t>Resguardo Indígena Chenche Zaragoza</t>
  </si>
  <si>
    <t>Resguardo Indígena Inga Rigcharikuna "Nuevo Despertar"</t>
  </si>
  <si>
    <t>Resguardo Indígena F+Ruide Naira+</t>
  </si>
  <si>
    <t>MURUI</t>
  </si>
  <si>
    <t>Resguardo Indígena Itti Takke</t>
  </si>
  <si>
    <t>ETTE ENNAKA CHIMILA</t>
  </si>
  <si>
    <t>20238</t>
  </si>
  <si>
    <t>Resguardo Indígena Dochama</t>
  </si>
  <si>
    <t>Resguardo Indígena Meche San Cayetano</t>
  </si>
  <si>
    <t>Resguardo Indígena Paez Los Planes</t>
  </si>
  <si>
    <t>Resguardo Indígena La Lucha</t>
  </si>
  <si>
    <t>Resguardo Indígena Embera de Peranchito</t>
  </si>
  <si>
    <t>Resguardo Indígena Kofan Santiago De Cali</t>
  </si>
  <si>
    <t>76001</t>
  </si>
  <si>
    <t>Resguardo Indígena Inga de San Andrés</t>
  </si>
  <si>
    <t>Inga</t>
  </si>
  <si>
    <t>Resguardo Indígena Rios Tomo Y Weberi</t>
  </si>
  <si>
    <t>Resguardo Indígena Eperara Siapidara de Sanquianguita</t>
  </si>
  <si>
    <t>EPARARA SIAPIDARA</t>
  </si>
  <si>
    <t>52490</t>
  </si>
  <si>
    <t>Resguardo Indígena Inga de Albania</t>
  </si>
  <si>
    <t>Resguardo Indígena Awa de Tortugaña,Telembi, Punde, Pitadero, Bravo, Tronqueria y Zabaleta</t>
  </si>
  <si>
    <t>Resguardo Indígena Siona Tenteya</t>
  </si>
  <si>
    <t>Resguardo Indígena La Libertad</t>
  </si>
  <si>
    <t>23466</t>
  </si>
  <si>
    <t>Resguardo Indígena de los parajes de Caranacoa-  Yuri -  Laguna Morocoto</t>
  </si>
  <si>
    <t>PUINAVE Y CURRIPACO</t>
  </si>
  <si>
    <t>Resguardo Indígena Pijao Barzaloza</t>
  </si>
  <si>
    <t>Resguardo Indígena Embera del Rio Bebara</t>
  </si>
  <si>
    <t>Resguardo Indígena Embera de La Raya</t>
  </si>
  <si>
    <t>Resguardo Indígena Caño Ovejas - Betania y Corocito</t>
  </si>
  <si>
    <t>Resguardo Indígena Waunana Chagpien -  Rio Tordo</t>
  </si>
  <si>
    <t>27250</t>
  </si>
  <si>
    <t>Resguardo Indigena Centorgua</t>
  </si>
  <si>
    <t>Resguardo Indígena Awa de Guelmambi - Caraño</t>
  </si>
  <si>
    <t>Resguardo Indígena Embera-Katio de La Cristalina</t>
  </si>
  <si>
    <t>Resguardo Indígena Saracure Y Rio Cada</t>
  </si>
  <si>
    <t>Resguardo Indígena Chenche Buenavista</t>
  </si>
  <si>
    <t>Resguardo Indígena Ticuna de El Vergel</t>
  </si>
  <si>
    <t>Resguardo Indígena Nasa Embera Chami deLa Delfina</t>
  </si>
  <si>
    <t>Resguardo Indígena Cofán Villanueva del Pueblo Cofán</t>
  </si>
  <si>
    <t>COFÁN</t>
  </si>
  <si>
    <t>Resguardo Indígena Embera-Catio del Rio Mumbu</t>
  </si>
  <si>
    <t>Resguardo Indígena Pijao Castilla Angosturas</t>
  </si>
  <si>
    <t>Resguardo Indígena Cuna del Rio Cuti</t>
  </si>
  <si>
    <t>Resguardo Indígena Tunebo de Chaparral y Barro Negro</t>
  </si>
  <si>
    <t>U´WA TUNEBO</t>
  </si>
  <si>
    <t>85125</t>
  </si>
  <si>
    <t>Resguardo Indígena Saliba de Macucuana</t>
  </si>
  <si>
    <t>Resguardo Indígena Kanalitojo</t>
  </si>
  <si>
    <t>AMORUA SALIBA SIKUANI</t>
  </si>
  <si>
    <t>Resguardo Indígena Pijao de Lomas de Hilarco</t>
  </si>
  <si>
    <t>Resguardo Indígena Sindawa del pueblo Awá</t>
  </si>
  <si>
    <t>Resguardo Indígena Paez de Novirao</t>
  </si>
  <si>
    <t>Resguardo Indígena De Arara</t>
  </si>
  <si>
    <t>Resguardo Indígena Alto Temblón del Pueblo Awa</t>
  </si>
  <si>
    <t>Resguardo Indígena Macahuan (Cusay o La Colorada)</t>
  </si>
  <si>
    <t>MACAHUAN</t>
  </si>
  <si>
    <t>Resguardo Indígena de Yaramal</t>
  </si>
  <si>
    <t>PASTOS / QUILLACINGA</t>
  </si>
  <si>
    <t>Resguardo Indígena Embera de Motordo</t>
  </si>
  <si>
    <t>Resguardo Indígena Huitoto - El Quince</t>
  </si>
  <si>
    <t>Resguardo indígena Caiman Nuevo</t>
  </si>
  <si>
    <t>Resguardo Indígena Embera (Chami) de los Niasa</t>
  </si>
  <si>
    <t>Resguardo Indígena Awa de Planadas De Telembi</t>
  </si>
  <si>
    <t>Resguardo Indígena Guahibo - Roqueros  El Dorado</t>
  </si>
  <si>
    <t>Resguardo Indígena Embera de El Piñal</t>
  </si>
  <si>
    <t>Resguardo Indígena Guahibo de Chololobo Matatu</t>
  </si>
  <si>
    <t>Resguardo Indígena Inga-Calarca</t>
  </si>
  <si>
    <t>Resguardo Indígena Tinajas</t>
  </si>
  <si>
    <t>Resguardo Indígena Pijao de Totarco Tamarindo</t>
  </si>
  <si>
    <t>Resguardo Indígena Katio-Embera del Paraje El Doce o Quebrada Borbollon</t>
  </si>
  <si>
    <t>Resguardo Indígena Tsawilonia del pueblo Sikuani</t>
  </si>
  <si>
    <t>Resguardo Indígena Emberá Chami de Cartama</t>
  </si>
  <si>
    <t>Resguardo Indígena Karabidrua</t>
  </si>
  <si>
    <t>76122</t>
  </si>
  <si>
    <t>Resguardo Indígena Embera de Puerto Libre del Rio Pepe</t>
  </si>
  <si>
    <t>Resguardo Indígena de Totoro</t>
  </si>
  <si>
    <t>PAEZ TOTORO</t>
  </si>
  <si>
    <t>Resguardo Indígena San Lorenzo del pueblo Emberá Chamí</t>
  </si>
  <si>
    <t>Resguardo Indígena Ishu Awa</t>
  </si>
  <si>
    <t>Resguardo Indígena de la Cuenca Media Y Alta del Rio Inirida</t>
  </si>
  <si>
    <t>PUINAVE, CURRIPACO, NUKAK MAKU</t>
  </si>
  <si>
    <t>94888</t>
  </si>
  <si>
    <t>Resguardo Indígena Awa de Pingullo Sardinero</t>
  </si>
  <si>
    <t>Resguardo Indígena Papallaqta</t>
  </si>
  <si>
    <t>19693</t>
  </si>
  <si>
    <t>Resguardo Indígena Embera Chami de Bernardino Panchi</t>
  </si>
  <si>
    <t>05576</t>
  </si>
  <si>
    <t>Resguardo Indígena San Antonio 2</t>
  </si>
  <si>
    <t>Resguardo Indígena Embera-Katio de Jenaturado</t>
  </si>
  <si>
    <t>Resguardo Indígena Pijao Chenche Media Luna</t>
  </si>
  <si>
    <t>Resguardo Indígena de Purace</t>
  </si>
  <si>
    <t>KOKONUKO</t>
  </si>
  <si>
    <t>CAUCA</t>
  </si>
  <si>
    <t>PURACE</t>
  </si>
  <si>
    <t>Resguardo Indígena Embera del Rio Icho y Quebrada Baratuo</t>
  </si>
  <si>
    <t>Resguardo Indígena Chimaluú</t>
  </si>
  <si>
    <t>Resguardo Indígena Maguaré</t>
  </si>
  <si>
    <t>UITOTO, TATUYO Y BORA</t>
  </si>
  <si>
    <t>50001</t>
  </si>
  <si>
    <t>Resguardo Indígena Monaide Jitoma del pueblo Murui Muina</t>
  </si>
  <si>
    <t>Resguardo Indígena Pijao de Oro</t>
  </si>
  <si>
    <t>Resguardo Indígena de Jenoy del pueblo Quillasinga</t>
  </si>
  <si>
    <t>QUILLASINGA</t>
  </si>
  <si>
    <t>Resguardo Indígena Intillagta (Hijos Del Sol)</t>
  </si>
  <si>
    <t>Resguardo Indígena Montaña de Fuego</t>
  </si>
  <si>
    <t>52788</t>
  </si>
  <si>
    <t>Resguardo Indígena Ebera Chami Eabidara</t>
  </si>
  <si>
    <t>Resguardo Indígena Pijao Nicolas Ramirez</t>
  </si>
  <si>
    <t>Resguardo Indígena inga de La Leona</t>
  </si>
  <si>
    <t>Resguardo Indígena Salivas y Piapocos  de Corozal y Tapaojo</t>
  </si>
  <si>
    <t>Piapoco Saliva</t>
  </si>
  <si>
    <t>Resguardo Indígena Awa de San Andres - Las Vegas - Villa Union</t>
  </si>
  <si>
    <t>Resguardo Indígena Pijao de Pocharco</t>
  </si>
  <si>
    <t>Resguardo Indígena Zenú de Pablo Muera</t>
  </si>
  <si>
    <t>Resguardo Indígena Awa de Pialapi - Pueblo Viejo - San Miguel - Yare</t>
  </si>
  <si>
    <t>Resguardo Indígena Ticuna Momaveza (Isla Mocagua)</t>
  </si>
  <si>
    <t>Resguardo Indígena Awa de  Alto Cartagena</t>
  </si>
  <si>
    <t>Resguardo Indígena Embera Guayabal de Partado</t>
  </si>
  <si>
    <t>Resguardo Indígena Waunana de Santa Maria De Pangala</t>
  </si>
  <si>
    <t>Resguardo Indígena Embera de Mamey De Dipurdu</t>
  </si>
  <si>
    <t>Resguardo Indígena Nasa Tkwima Thewë´Sx</t>
  </si>
  <si>
    <t>Resguardo Indígena Cuaiquuier de los parajes Cuambi y Yaslambi</t>
  </si>
  <si>
    <t>Resguardo Indígena Embera - Katio de los Ríos Salaqui-Pavarando</t>
  </si>
  <si>
    <t>Resguardo Embera Katio de Cañaverales - Antado</t>
  </si>
  <si>
    <t>Resguardo Indígena Guayuyaco</t>
  </si>
  <si>
    <t>Resguardo Indígena El Refugio</t>
  </si>
  <si>
    <t>DESANO YURITI CIRIANO</t>
  </si>
  <si>
    <t>Resguardo Indígena Guahibo-Amoruas Caño Mesetas - Dagua y Murciélago</t>
  </si>
  <si>
    <t>GUAHIBO AMORRUA</t>
  </si>
  <si>
    <t>Resguardo Indígena Chenche Agua Fria</t>
  </si>
  <si>
    <t>Resguardo Indígena Andoke Del Paraje De Aduche</t>
  </si>
  <si>
    <t>ANDOQUE</t>
  </si>
  <si>
    <t>Resguardo Indígena Embera de Hurtado y Tegavera</t>
  </si>
  <si>
    <t>Resguardo Indígena El Pando</t>
  </si>
  <si>
    <t>05154</t>
  </si>
  <si>
    <t>Resguardo Indígena Pijao de Guasimal</t>
  </si>
  <si>
    <t>Resguardo Indígena de Guambia</t>
  </si>
  <si>
    <t>19256</t>
  </si>
  <si>
    <t>Resguardo Indígena Guahibo de Merey - La Veraita</t>
  </si>
  <si>
    <t>Resguardo Indígena El Tigre</t>
  </si>
  <si>
    <t>Resguardo Indígena San Jose De Lipa o Caño Colorado</t>
  </si>
  <si>
    <t>Resguardo Indígena Coreguaje de El Triunfo</t>
  </si>
  <si>
    <t>Resguardo Indígena Paez de La Cilia o La Calera</t>
  </si>
  <si>
    <t>19455</t>
  </si>
  <si>
    <t>Resguardo Indígena Piapoco de Flores-Sombrero</t>
  </si>
  <si>
    <t>Resguardo Indígena Embera Katio de Sabaletera San Onofre y El Tigre</t>
  </si>
  <si>
    <t>27491</t>
  </si>
  <si>
    <t>Resguardo Indígena Kuitua</t>
  </si>
  <si>
    <t>54820</t>
  </si>
  <si>
    <t>Resguardo Indígena Paez de Villa Lucia</t>
  </si>
  <si>
    <t>Resguardo Indígena Achagua y Piapoco (El Turpial La Victoria (Umapo))</t>
  </si>
  <si>
    <t>ACHAGUA  PIAPOCO</t>
  </si>
  <si>
    <t>50573</t>
  </si>
  <si>
    <t>Resguardo Indígena Guahibo o Sicuani asentada en el Paraje La Llanura (Poblados La Llanura, La Florida, La Campaña, Piñalito Y Miralindo)</t>
  </si>
  <si>
    <t>GUAHIBO SICUANI</t>
  </si>
  <si>
    <t>Resguardo Indígena Embera La Jagua - Guachal y Agua Clara</t>
  </si>
  <si>
    <t>EMBERA EPERARA</t>
  </si>
  <si>
    <t>Resguardo Indígena Guahibo Del Paraje De Caño Jabon</t>
  </si>
  <si>
    <t>Resguardo Indígena Campo Alegre y Ripialito</t>
  </si>
  <si>
    <t>Resguardo Indígena Emberá Chamí de Quinchía</t>
  </si>
  <si>
    <t>66594</t>
  </si>
  <si>
    <t>Resguardo Indígena Ticuna y Cocama de Puerto Triunfo</t>
  </si>
  <si>
    <t>Resguardo Indígena Tamaquito II</t>
  </si>
  <si>
    <t>Resguardo Indígena El Floral del pueblo Pijao</t>
  </si>
  <si>
    <t>Resguardo Indígena Pijao Rincon Velu</t>
  </si>
  <si>
    <t>Resguardo Indígena Nuevo Horizonte</t>
  </si>
  <si>
    <t>KIZGO</t>
  </si>
  <si>
    <t>Resguardo Indígena Paez de Alto Lorenzo</t>
  </si>
  <si>
    <t>Resguardo Indígena Uwa de Playas De Bojaba</t>
  </si>
  <si>
    <t>Resguardo Indígena Cubeo, Tukano, Wanano y Piratapuyo de Centro Miraflores</t>
  </si>
  <si>
    <t>CUBEO, TUKANO, WANANOS Y PIRATAPUYOS</t>
  </si>
  <si>
    <t>15455</t>
  </si>
  <si>
    <t>Resguardo Indígena Embera de Caimanero de Jampapa</t>
  </si>
  <si>
    <t>Quibdo</t>
  </si>
  <si>
    <t>Resguardo Indígena Paez de Agua Negra</t>
  </si>
  <si>
    <t>Resguardo Indígena Eperara-Siapidara de Isla Del Mono</t>
  </si>
  <si>
    <t>Resguardo Indígena La Bandera del Pueblo Pijao</t>
  </si>
  <si>
    <t>Resguardo Indígena Awa  de Piguambi Palangala</t>
  </si>
  <si>
    <t>Resguardo Indígena Embera-Chami de Sabaleta</t>
  </si>
  <si>
    <t>Resguardo Indígena Embera de los Rios Tungina Y Apartado</t>
  </si>
  <si>
    <t>Resguardo Indígena Awa de Selva Verde</t>
  </si>
  <si>
    <t>Resguardo Indígena Embera-Katio (Chami) Cope Del Rio Ingara</t>
  </si>
  <si>
    <t>27660</t>
  </si>
  <si>
    <t>Resguardo Indígena de Juan Tama</t>
  </si>
  <si>
    <t>Resguardo Indígena Embera de Mondó Mondocito</t>
  </si>
  <si>
    <t>0TADÓ</t>
  </si>
  <si>
    <t>Resguardo Indígena Waunana del Río Dagua</t>
  </si>
  <si>
    <t>Resguardo Indígena Pijao de San Antonio de Calarma</t>
  </si>
  <si>
    <t>Resguardo Indígena Zenú Brojolá</t>
  </si>
  <si>
    <t>Resguardo Indígena Paez de La Cristalina  - Kwes Kiwe Nasa</t>
  </si>
  <si>
    <t>76364</t>
  </si>
  <si>
    <t>Resguardo Indígena Murui Muinane de Santa Rita</t>
  </si>
  <si>
    <t>MURUIMUINANE</t>
  </si>
  <si>
    <t>Resguardo Indígena Siona de El Hacha</t>
  </si>
  <si>
    <t>Resguardo Indígena Paez De Las Mercedes</t>
  </si>
  <si>
    <t>19137</t>
  </si>
  <si>
    <t>Resguardo Indígena de Puerto Nare</t>
  </si>
  <si>
    <t>CARIJONA</t>
  </si>
  <si>
    <t>Resguardo Indígena Awa de El Gran Sabalo</t>
  </si>
  <si>
    <t>Resguardo Indígena Telar Luz Del Amanecer</t>
  </si>
  <si>
    <t>Resguardo Indígena Embera-Chami Loma de Citabara, Palestina, Atarralla y La Albania</t>
  </si>
  <si>
    <t>66456</t>
  </si>
  <si>
    <t>Resguardo Indígena Curripaco de la Parte Alta del Rio Guainia</t>
  </si>
  <si>
    <t>Resguardo Indígena de Ambalo</t>
  </si>
  <si>
    <t>PAEZ GUAMBIA</t>
  </si>
  <si>
    <t>Resguardo Indígena Waunana de Papayo</t>
  </si>
  <si>
    <t>Resguardo Indígena Sikuani, Siriano, Carapano, Desano y Tucano de Cachivera Del Nare</t>
  </si>
  <si>
    <t>SIKUANI, SIRIANOY OTROS</t>
  </si>
  <si>
    <t>Resguardo Indígena La Victoria</t>
  </si>
  <si>
    <t>KAWIYARÍ, BARASANO, TATUYO, TAIWANO/EDURIA, TUYUCA, TUCANO, CUBEO, DESANO, SIRIANO, YURUTÍ, CARAPANA, PIRATAPUYO, WANANO Y BARA</t>
  </si>
  <si>
    <t>Resguardo Indígena Nasa Paez De Musse Ukwe</t>
  </si>
  <si>
    <t>Resguardo Indígena Naara Kajmanta</t>
  </si>
  <si>
    <t>ETTE ENNAKA (CHIMILA)</t>
  </si>
  <si>
    <t>Resguardo Indígena Salilva de los parajes de San Juanito, El Duya y Paravare</t>
  </si>
  <si>
    <t>Resguardo Indígena El Itilla</t>
  </si>
  <si>
    <t>KARAPANA DESANA CUBEO TUCANO</t>
  </si>
  <si>
    <t>13140</t>
  </si>
  <si>
    <t>Resguardo Indígena Inga Kamentsa de Mocoa</t>
  </si>
  <si>
    <t>INGA KAMSA</t>
  </si>
  <si>
    <t>Resguardo Indígena Embera de Villa Nueva Juna</t>
  </si>
  <si>
    <t>Resguardo Indígena Ticuna de Macedonia</t>
  </si>
  <si>
    <t>Resguardo Indígena Curripaco y otras de Tierra Alta</t>
  </si>
  <si>
    <t>Resguardo Indígena Alto Peñalisa</t>
  </si>
  <si>
    <t>Resguardo Indígena Wayuu de Lomamato</t>
  </si>
  <si>
    <t>Resguardo Indígena Guahibo de El Vigia</t>
  </si>
  <si>
    <t>Resguardo Indígena Waunana del Rio Curiche</t>
  </si>
  <si>
    <t>Resguardo Indígena Guahibo de Caño Guaripa</t>
  </si>
  <si>
    <t>Resguardo Indígena Guahibo de Caño La Hormiga</t>
  </si>
  <si>
    <t>Resguardo Indígena Guahibo de La Esmeralda</t>
  </si>
  <si>
    <t>Resguardo Indígena Embera de Dokerazavi</t>
  </si>
  <si>
    <t>05837</t>
  </si>
  <si>
    <t>Resguardo Indígena Paez de Nasa Chamb</t>
  </si>
  <si>
    <t>Resguardo Indígena Pijao Rincon Bodega</t>
  </si>
  <si>
    <t>Resguardo Indígena Wayuu de El Cerro De Hatonuevo</t>
  </si>
  <si>
    <t>Resguardo Indígena Inga De Mocoa</t>
  </si>
  <si>
    <t>Resguardo Indígena Sikuani de Waliani</t>
  </si>
  <si>
    <t>Resguardo Indígena Paez del Portal</t>
  </si>
  <si>
    <t>Resguardo Indígena Kwe Sx Tata Kiwe Las Guacas</t>
  </si>
  <si>
    <t>Resguardo Indígena Nasa U'se Yaakxnisa Nuevo Despertar del pueblo Nasa</t>
  </si>
  <si>
    <t>Resguardo Indígena Pueblo Kokonuco</t>
  </si>
  <si>
    <t>Resguardo Indígena de Kalim´piu - El Carmelo</t>
  </si>
  <si>
    <t>Resguardo Indígena Awa Gran Rosario</t>
  </si>
  <si>
    <t>Resguardo Indígena Nasa Paez El Peñon</t>
  </si>
  <si>
    <t>19760</t>
  </si>
  <si>
    <t>Resguardo Indígena Embera de Dearade Biakirude</t>
  </si>
  <si>
    <t>Resguardo Indígena El Oso</t>
  </si>
  <si>
    <t>Resguardo Indígena Nanurco</t>
  </si>
  <si>
    <t>Resguardo Indígena Embera de Bochoroma Bochoromacito</t>
  </si>
  <si>
    <t>Resguardo Indígena Emebera de los Rios Bete, Auro Bete y Auro del Buey</t>
  </si>
  <si>
    <t>Resguardo Indígena de Chenche Buenos Aires</t>
  </si>
  <si>
    <t>Resguardo Indígena Pijao de Los Pijaos</t>
  </si>
  <si>
    <t>18029</t>
  </si>
  <si>
    <t>Resguardo Indígena Yanacona Descanse</t>
  </si>
  <si>
    <t>Resguardo Indígena Puerto Belgica</t>
  </si>
  <si>
    <t>Resguardo Indígena Eperara Siapadara de Playita San Francisco</t>
  </si>
  <si>
    <t>Resguardo Indígena Laguna Pejendino</t>
  </si>
  <si>
    <t>Resguardo Indígena Paez de Kwet Wala (Piedra Grande)</t>
  </si>
  <si>
    <t>76563</t>
  </si>
  <si>
    <t>Resguardo Indígena Wayu El Soldado Parate Bien</t>
  </si>
  <si>
    <t>Resguardo Indígena de Puerto Viejo y Puerto Esperanza</t>
  </si>
  <si>
    <t>CUBEO Y OTROS</t>
  </si>
  <si>
    <t>Resguardo Indígena Irocobingkayra del pueblo Barí</t>
  </si>
  <si>
    <t>BARI</t>
  </si>
  <si>
    <t>54250</t>
  </si>
  <si>
    <t>Resguardo Indígena Nasa Cxhab Wala Luucx</t>
  </si>
  <si>
    <t>Resguardo Indígena Wananos, Carapanas, Cubeos y Piratapuyos de Vuelta Del Alivio</t>
  </si>
  <si>
    <t>Resguardo Indígena Embera  de Pichicora, Chicue y Punto Alegre</t>
  </si>
  <si>
    <t>Resguardo Indígena Pijao Guaipa Uno</t>
  </si>
  <si>
    <t>Resguardo Indígena La Luisa del Pueblo Pijao</t>
  </si>
  <si>
    <t>73319</t>
  </si>
  <si>
    <t>Resguardo Indígena Yuco de Iroka</t>
  </si>
  <si>
    <t>Resguardo Indígena Inchi Iaku</t>
  </si>
  <si>
    <t>Resguardo Indígena Cerrito Bongo</t>
  </si>
  <si>
    <t>Resguardo Indígena Coribi Bedado</t>
  </si>
  <si>
    <t>Resguardo Indígena Lomas De Guaguarco</t>
  </si>
  <si>
    <t>Resguardo Indígena Embera Chami Dachi Drua Mundi</t>
  </si>
  <si>
    <t>76041</t>
  </si>
  <si>
    <t>Resguardo Indígena Titanho Nijaamu - La Libertad</t>
  </si>
  <si>
    <t>YAGUA</t>
  </si>
  <si>
    <t>Resguardo Indígena Guahibo y Cuiva  Rio Tuparro y los Caños Malicia y Arreita (Santa Teresita Del Tuparro)</t>
  </si>
  <si>
    <t>GUAHIBO CUIVA</t>
  </si>
  <si>
    <t>Resguardo Indígena Guahibo de Caño Negro</t>
  </si>
  <si>
    <t>Resguardo Indígena Los Guajireros</t>
  </si>
  <si>
    <t>Resguardo Indígena Guarapamba</t>
  </si>
  <si>
    <t>Resguardo Indígena Embera del Rio Bebarama</t>
  </si>
  <si>
    <t>Resguardo Indígena Kerakar</t>
  </si>
  <si>
    <t>41132</t>
  </si>
  <si>
    <t>Resguardo Indígena Guahibo de Alto Unuma</t>
  </si>
  <si>
    <t>GUAHIBO PIAPOCO</t>
  </si>
  <si>
    <t>Resguardo Indígena Karabi Drua</t>
  </si>
  <si>
    <t>66075</t>
  </si>
  <si>
    <t>Resguardo Indígena Musu Runakuna</t>
  </si>
  <si>
    <t>Resguardo Indígena Nukachipa</t>
  </si>
  <si>
    <t>Resguardo Indígena de Canime</t>
  </si>
  <si>
    <t>05051</t>
  </si>
  <si>
    <t>Resguardo Indígena Wayuu de San Francisco</t>
  </si>
  <si>
    <t>Resguardo Indígena Embera Paso Rio Salado</t>
  </si>
  <si>
    <t>Resguardo Indígena Rincon De Anchique</t>
  </si>
  <si>
    <t>Resguardo Indígena Awa de El Espingo</t>
  </si>
  <si>
    <t>Resguardo Indígena de Coreguaje de la Esperanza</t>
  </si>
  <si>
    <t>Resguardo Indigena Inga Suma Iuiai</t>
  </si>
  <si>
    <t xml:space="preserve">Resguardo Indigena Corede del Alto del río Munguidó.
</t>
  </si>
  <si>
    <t>Resguardo Indígena El Mango del Pueblo Senú</t>
  </si>
  <si>
    <t>SENÚ</t>
  </si>
  <si>
    <t>Resguardo Indígena Embera de los Rios Jengado-Apartado</t>
  </si>
  <si>
    <t>Resguardo Indígena Chiasalu</t>
  </si>
  <si>
    <t>Resguardo Indígena Aguas Claras del pueblo Pijao</t>
  </si>
  <si>
    <t>73168</t>
  </si>
  <si>
    <t>Resguardo Indígena de los parajes de Coayare - El Coco</t>
  </si>
  <si>
    <t>PUINAVE, PIAPOCO Y CURRIPACO</t>
  </si>
  <si>
    <t>Resguardo Indígena Pijao de Chenche Buenos Aires Tradicional</t>
  </si>
  <si>
    <t>Resguardo Indígena Cuiva de Los Iguanitos</t>
  </si>
  <si>
    <t>CUIVA</t>
  </si>
  <si>
    <t>Resguardo Indígena Pijao de Santa Marta Diamante</t>
  </si>
  <si>
    <t>Resguardo Indígena Awa de Peña La Alegria</t>
  </si>
  <si>
    <t>Resguardo Indígena Pueblo Viejo Santa Rita La Mina</t>
  </si>
  <si>
    <t>Resguardo Indígena Ticuna y Yagua de Santa Sofia y el Progreso</t>
  </si>
  <si>
    <t>TIKUNA / YAGUA</t>
  </si>
  <si>
    <t>Resguardo Indígena Aldea de Maria Putisnán</t>
  </si>
  <si>
    <t>52210</t>
  </si>
  <si>
    <t>Resguardo Indígena de Alpamanga</t>
  </si>
  <si>
    <t>Resguardo Indígena Paez - Las Mercedes</t>
  </si>
  <si>
    <t>73616</t>
  </si>
  <si>
    <t>Resguardo Indígena Pijao de Pacande</t>
  </si>
  <si>
    <t>Resguardo Indígena Siona de Vegas de Santana</t>
  </si>
  <si>
    <t>Resguardo Indígena Chami de Totumal</t>
  </si>
  <si>
    <t>Resguardo Indígena Embera - Katio deTagual  - La Po</t>
  </si>
  <si>
    <t>Resguardo Indígena Saliva El Suspiro - El Rincon del Socorro</t>
  </si>
  <si>
    <t>Resguardo Indígena Embera de los Rios Pavarando y Amparrado Medio</t>
  </si>
  <si>
    <t>Resguardo Indígena Bidukar - La Mecenia</t>
  </si>
  <si>
    <t>Resguardo Indígena Embera Katio de Sohaibado</t>
  </si>
  <si>
    <t>Resguardo Indígena Pijao de La Tutira Bonanza</t>
  </si>
  <si>
    <t>Resguardo Indígena Nasa Paez Huila</t>
  </si>
  <si>
    <t>41357</t>
  </si>
  <si>
    <t>Resguardo Indígena Embera de Wasiruma</t>
  </si>
  <si>
    <t>76869</t>
  </si>
  <si>
    <t>Resguardo Indígena Paez de Quichaya</t>
  </si>
  <si>
    <t>Resguardo Indígena Frontino</t>
  </si>
  <si>
    <t>Resguardo Indígena Eperara Siapidara  de San Juan de Pampon</t>
  </si>
  <si>
    <t>LA TOLA</t>
  </si>
  <si>
    <t>Resguardo Indígena Embera-Katio  de Amparrado Alto Medio</t>
  </si>
  <si>
    <t>Resguardo Indígena Embera Chami  de Gitó Dokabú</t>
  </si>
  <si>
    <t>Resguardo Indígena Paez de La Laguna Siberia</t>
  </si>
  <si>
    <t>Resguardo Indígena Embera Chami y Zenu De La Palma</t>
  </si>
  <si>
    <t>EMBERA CHAMI ZENU</t>
  </si>
  <si>
    <t>Resguardo Indígena Awa Mayasquer</t>
  </si>
  <si>
    <t>Resguardo Indígena Pijao Tres Esquinas</t>
  </si>
  <si>
    <t>Resguardo Indígena Awa El Sande</t>
  </si>
  <si>
    <t>Resguardo Indígena Embera de Trapiche del Rio Pepe</t>
  </si>
  <si>
    <t>Resguardo Indígena Paez y Guambiano de La Gaitana</t>
  </si>
  <si>
    <t>Resguardo Indígena Paez de La Concepcion</t>
  </si>
  <si>
    <t>Resguardo Indígena Katio (Rio Tanela)</t>
  </si>
  <si>
    <t>Resguardo Indigena Nueva Betania del pueblo Makaguaje</t>
  </si>
  <si>
    <t>MAKAGUAJE</t>
  </si>
  <si>
    <t>Resguardo Indígena Piaroa Cachicamo</t>
  </si>
  <si>
    <t>PIAROA</t>
  </si>
  <si>
    <t>Resguardo Indígena Monaya Buinaima del pueblo Uitoto</t>
  </si>
  <si>
    <t>UITOTO</t>
  </si>
  <si>
    <t>Resguardo Indígena Inga de Yurayaco</t>
  </si>
  <si>
    <t>Resguardo Indígena Embera Katio de Pescadito</t>
  </si>
  <si>
    <t>Resguardo Indígena Paez de El Porvenir - La Barrialosa</t>
  </si>
  <si>
    <t>Resguardo Indígena Wayuu Cuatro De Noviembre</t>
  </si>
  <si>
    <t>Resguardo Indígena Yanacona de San Juan</t>
  </si>
  <si>
    <t>19100</t>
  </si>
  <si>
    <t>Resguardo Indígena Paez Quintana</t>
  </si>
  <si>
    <t>POPAYAN</t>
  </si>
  <si>
    <t>Resguardo Indígena Guahibo de Caño Claro</t>
  </si>
  <si>
    <t>Resguardo Indígena Ukwe Kiwe del pueblo Nasa</t>
  </si>
  <si>
    <t>Resguardo Indígena Embera  de Do Imamma Tuma y Bella Luz</t>
  </si>
  <si>
    <t>Resguardo Indígena Kare Dúa</t>
  </si>
  <si>
    <t>66383</t>
  </si>
  <si>
    <t>Resguardo Indígena Awa de Nulpe Medio-Alto y Rio San Juan</t>
  </si>
  <si>
    <t>Resguardo Indígena Waunana de Guayacan Santa Rosa</t>
  </si>
  <si>
    <t>Resguardo Indígena El Aguila</t>
  </si>
  <si>
    <t>Resguardo Indígena Eperara Siapidara de Maiz Blanco</t>
  </si>
  <si>
    <t>Resguardo Indígena La Mayera</t>
  </si>
  <si>
    <t>Resguardo Indígena Karabia Luja</t>
  </si>
  <si>
    <t>Embera Katio</t>
  </si>
  <si>
    <t>Resguardo Indígena Embera de Puerto Alegre y La Divisa</t>
  </si>
  <si>
    <t>Alto Baudó</t>
  </si>
  <si>
    <t>Resguardo Indígena Bekocha Guajira</t>
  </si>
  <si>
    <t>KOREGUAJE</t>
  </si>
  <si>
    <t>Resguardo Indígena Murri-pantanos</t>
  </si>
  <si>
    <t>Comunidad Indígena Catambuco del pueblo Quillasinga</t>
  </si>
  <si>
    <t>Resguardo Indígena San Jose del Rio</t>
  </si>
  <si>
    <t>Resguardo Indígena Embera de los Rios Catru, Dubasa, Ankoso</t>
  </si>
  <si>
    <t>Resguardo Indígena Barranco Ceiba Y Laguna Araguato</t>
  </si>
  <si>
    <t>Resguardo Indígena La Asuncion</t>
  </si>
  <si>
    <t>Tucano Desano</t>
  </si>
  <si>
    <t>Resguardo Indígena Embera Chami de Cristiania</t>
  </si>
  <si>
    <t>05364</t>
  </si>
  <si>
    <t>Resguardo Indígena Awa de Pulgande Campo Alegre</t>
  </si>
  <si>
    <t>Resguardo Indígena Chimbagal</t>
  </si>
  <si>
    <t>Resguardo Indígena Nasa Hu</t>
  </si>
  <si>
    <t>Resguardo Indígena Awa de Guadual, Cumbas, Magui, Invina, Arrayan</t>
  </si>
  <si>
    <t>Resguardo Indígena Doquera</t>
  </si>
  <si>
    <t>50313</t>
  </si>
  <si>
    <t>Resguardo Indígena Pijao Bateas</t>
  </si>
  <si>
    <t>Resguardo Indígena Piapoco de Pueblo Nuevo - Laguna Colorada</t>
  </si>
  <si>
    <t>Resguardo Indígena Pijao Palma Alta</t>
  </si>
  <si>
    <t>Resguardo Indígena Guahibo de Caño Bachaco</t>
  </si>
  <si>
    <t>Resguardo Indígena del Paraje de El Venado</t>
  </si>
  <si>
    <t>VELASQUEROS</t>
  </si>
  <si>
    <t>Resguardo Indígena Waunana de La Union Choco - San Cristobal</t>
  </si>
  <si>
    <t>Resguardo Indígena Guahibo del Rio Siare o Barranco Lindo</t>
  </si>
  <si>
    <t>Resguardo Indígena Embera de El Salado</t>
  </si>
  <si>
    <t>Resguardo Indígena Dachi Joma</t>
  </si>
  <si>
    <t>17042</t>
  </si>
  <si>
    <t>Resguardo Indígena Awa La Cabaña</t>
  </si>
  <si>
    <t>Resguardo Indígena Embera-Katio y Waunana del Rio Quiparado</t>
  </si>
  <si>
    <t>EMBERA KATIO WUANANA</t>
  </si>
  <si>
    <t>Resguardo Indígena Tucano de Barranquillita</t>
  </si>
  <si>
    <t>Resguardo Indígena Wayuu de Tocoromana, Loma Fresca y Chentico - "Perratpu"</t>
  </si>
  <si>
    <t>Resguardo Indígena Embera - Chami de la Sucia - Hermeregildo Chakiama</t>
  </si>
  <si>
    <t>05101</t>
  </si>
  <si>
    <t>Resguardo Indígena Paez de el Libano</t>
  </si>
  <si>
    <t>Resguardo Indígena Pijao de Los Angeles</t>
  </si>
  <si>
    <t>Resguardo Indígena Coreguaje de Aguanegra</t>
  </si>
  <si>
    <t>Resguardo Indígena Awa de Pipalta - Palbi - Yaguapi</t>
  </si>
  <si>
    <t>Resguardo Indígena Gran Tescual</t>
  </si>
  <si>
    <t>52573</t>
  </si>
  <si>
    <t>Resguardo Indígena Hitnu Cuiba Grupo Macahuan de La Voragine - La Ilusion</t>
  </si>
  <si>
    <t>HITNU CUIBA</t>
  </si>
  <si>
    <t>Resguardo Indígena Emebera-Katio de Jaidezavi</t>
  </si>
  <si>
    <t>Resguardo Indígena Pijao de Quebraditas</t>
  </si>
  <si>
    <t>Resguardo Indígena Wounan de Docordo Balsalito</t>
  </si>
  <si>
    <t>Resguardo Indígena Embera de Nusido</t>
  </si>
  <si>
    <t>Resguardo Indígena Pijao de Pueblo Nuevo</t>
  </si>
  <si>
    <t>Resguardo Indígena Saladilloiaco</t>
  </si>
  <si>
    <t>Resguardo Indígena Guayabero de La Maria</t>
  </si>
  <si>
    <t>Resguardo Indígena Awa de Caicedonia</t>
  </si>
  <si>
    <t>Orito</t>
  </si>
  <si>
    <t>Resguardo Indígena Pijao de Anacarco</t>
  </si>
  <si>
    <t>Resguardo Indígena Cofan de Bocana de Luzon</t>
  </si>
  <si>
    <t>COFAN - KOFAN</t>
  </si>
  <si>
    <t>Resguardo Indígena Guahibo La Isla</t>
  </si>
  <si>
    <t>Resguardo Indígena Caña Brava</t>
  </si>
  <si>
    <t>Resguardo Indígena Embera del Alto Rio Tagachi</t>
  </si>
  <si>
    <t>Resguardo Indígena Sikuani de Awaliba</t>
  </si>
  <si>
    <t>Resguardo Indígena Embera - Catio del Rio Chajerado</t>
  </si>
  <si>
    <t>Resguardo Indígena Karabijua</t>
  </si>
  <si>
    <t>Resguardo Indígena Embera Chamí de Guática</t>
  </si>
  <si>
    <t>66318</t>
  </si>
  <si>
    <t>Resguardo Indígena Páez de la Siberia</t>
  </si>
  <si>
    <t>Puerto Rico</t>
  </si>
  <si>
    <t>Resguardo Indígena Pijao de Cocana</t>
  </si>
  <si>
    <t>Resguardo Indígena Embera (Eperara - Siapidara) de La Floresta, Sta Rosa y San Francisco</t>
  </si>
  <si>
    <t>Resguardo Indígena Embera Catio de Choromando Bajo y la Lejia "Monzhomando"</t>
  </si>
  <si>
    <t>Resguardo Indígena Puerta Del Macizo</t>
  </si>
  <si>
    <t>Resguardo Indígena Huitoto de Lagarto Cocha</t>
  </si>
  <si>
    <t>Resguardo Indígena Embera de Sirena Berrecuy</t>
  </si>
  <si>
    <t>Resguardo Indígena Inkal Awá Katsa Ti del Pueblo Awá</t>
  </si>
  <si>
    <t>Resguardo Indígena Muruy El Progreso</t>
  </si>
  <si>
    <t>MURUY</t>
  </si>
  <si>
    <t>Resguardo Indígena Piapoco de Concordia</t>
  </si>
  <si>
    <t>PIAPOKO</t>
  </si>
  <si>
    <t>Resguardo Indígena Pijao de Bocas De Tetuan</t>
  </si>
  <si>
    <t>Resguardo Indígena Piapoco de Chocon</t>
  </si>
  <si>
    <t>Resguardo Indígena Motilona Bari (Barira) de Catalaura</t>
  </si>
  <si>
    <t>54810</t>
  </si>
  <si>
    <t>Resguardo Indígena Awa de Tronqueria, Pulgande y Palicito</t>
  </si>
  <si>
    <t>Resguardo Indígena Anaba</t>
  </si>
  <si>
    <t>Resguardo Indígena Pijao Guatavita Tua</t>
  </si>
  <si>
    <t>Resguardo Indígena Cubeo Yavilla II</t>
  </si>
  <si>
    <t>Resguardo Indígena Puerto Claver</t>
  </si>
  <si>
    <t>Resguardo Indígena Morichito y Caño Mochuelo</t>
  </si>
  <si>
    <t>CUIVA Y OTROS</t>
  </si>
  <si>
    <t>Resguardo Indígena Waunana del Rio Taparal</t>
  </si>
  <si>
    <t>Resguardo Indígena Inga De Aponte</t>
  </si>
  <si>
    <t>52258</t>
  </si>
  <si>
    <t>Resguardo Indígena Embera Chami La Argelia</t>
  </si>
  <si>
    <t>VALLE DEL GUAMUEZ</t>
  </si>
  <si>
    <t>Resguardo Indígena Pijao Las Palmas</t>
  </si>
  <si>
    <t>TOLIMA</t>
  </si>
  <si>
    <t>Resguardo Indígena Puinave-Tucano-Curripaco-Cubeo, de los parajes de Almidon - La Ceiba</t>
  </si>
  <si>
    <t>PUINAVE TUCANO CURRIPACO  Y CUBEO</t>
  </si>
  <si>
    <t>Resguardo Indígena Wayuu de Mayalitas, Bangañitas, La Gloria y La Loma "Mayabangloma"</t>
  </si>
  <si>
    <t>Resguardo indígena Embera Katio del Alto Sinu</t>
  </si>
  <si>
    <t>23815</t>
  </si>
  <si>
    <t>Resguardo Indígena Siona De Bajo Casacunte del pueblo Siona</t>
  </si>
  <si>
    <t>Resguardo Indígena Murui - Witoto de Aguas Negras</t>
  </si>
  <si>
    <t>MURUI WITO</t>
  </si>
  <si>
    <t>Resguardo Indígena Embera-Katio de La Puria</t>
  </si>
  <si>
    <t>Resguardo Indígena del Alto Albí</t>
  </si>
  <si>
    <t>Resguardo Indígena Wiwa Arzario de Campo Alegre</t>
  </si>
  <si>
    <t>WIWA ARZARIO</t>
  </si>
  <si>
    <t>Resguardo Indígena Numain Maleiwa (Tierra De Dios)</t>
  </si>
  <si>
    <t>Resguardo Indígena Puinave y Curripaco de los Parajes Remanso - Chorro Bocon</t>
  </si>
  <si>
    <t>Resguardo Indígena Embera-Katio Rio Andagueda</t>
  </si>
  <si>
    <t>27073</t>
  </si>
  <si>
    <t>Resguardo Indígena Eperara Siapadara de Playa Bendita</t>
  </si>
  <si>
    <t>Resguardo Indígena Pijao de Beltran</t>
  </si>
  <si>
    <t>Resguardo Indígena Trua Integrado Del Charco</t>
  </si>
  <si>
    <t>Resguardo Indígena Guahibo de las Lagunas Egua y Guariacana</t>
  </si>
  <si>
    <t>Resguardo Indígena Dachi Nabe Drua</t>
  </si>
  <si>
    <t>Resguardo Indígena Yanacona de San Agustin</t>
  </si>
  <si>
    <t>Resguardo Indígena Kurmadó Marsella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</si>
</sst>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i/>
      <sz val="10"/>
      <name val="Arial"/>
      <charset val="1"/>
    </font>
    <font>
      <i/>
      <sz val="10"/>
      <name val="Arial"/>
      <charset val="1"/>
    </font>
    <font>
      <b/>
      <sz val="13"/>
      <color rgb="FF1F4E79"/>
      <name val="Arial"/>
      <charset val="1"/>
    </font>
    <font>
      <b/>
      <sz val="10"/>
      <name val="Arial"/>
      <charset val="1"/>
    </font>
    <font>
      <b/>
      <sz val="10"/>
      <color rgb="FFFFFFFF"/>
      <name val="Arial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D9D9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  <fill>
      <patternFill patternType="solid">
        <fgColor rgb="FF1F4E79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vertical="top" wrapText="1"/>
    </xf>
    <xf numFmtId="0" fontId="6" fillId="0" borderId="0" xfId="0" applyFont="1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wrapText="1"/>
    </xf>
    <xf numFmtId="0" fontId="7" fillId="6" borderId="0" xfId="0" applyFont="1" applyFill="1" applyAlignment="1">
      <alignment horizontal="center" vertical="center" wrapText="1"/>
    </xf>
    <xf numFmtId="0" fontId="8" fillId="3" borderId="1" xfId="0" applyFont="1" applyFill="1" applyBorder="1" applyAlignment="1">
      <alignment vertical="top" wrapText="1"/>
    </xf>
    <xf numFmtId="0" fontId="8" fillId="3" borderId="1" xfId="0" applyFont="1" applyFill="1" applyBorder="1" applyAlignment="1">
      <alignment vertical="top"/>
    </xf>
    <xf numFmtId="3" fontId="8" fillId="3" borderId="1" xfId="0" applyNumberFormat="1" applyFont="1" applyFill="1" applyBorder="1" applyAlignment="1">
      <alignment vertical="top"/>
    </xf>
    <xf numFmtId="0" fontId="8" fillId="4" borderId="1" xfId="0" applyFont="1" applyFill="1" applyBorder="1" applyAlignment="1">
      <alignment vertical="top"/>
    </xf>
    <xf numFmtId="0" fontId="8" fillId="4" borderId="1" xfId="0" applyFont="1" applyFill="1" applyBorder="1" applyAlignment="1">
      <alignment vertical="top" wrapText="1"/>
    </xf>
    <xf numFmtId="0" fontId="8" fillId="5" borderId="1" xfId="0" applyFont="1" applyFill="1" applyBorder="1" applyAlignment="1">
      <alignment vertical="top"/>
    </xf>
    <xf numFmtId="0" fontId="8" fillId="0" borderId="0" xfId="0" applyFont="1" applyAlignment="1">
      <alignment vertical="top" wrapText="1"/>
    </xf>
    <xf numFmtId="4" fontId="8" fillId="5" borderId="1" xfId="0" applyNumberFormat="1" applyFont="1" applyFill="1" applyBorder="1" applyAlignment="1">
      <alignment vertical="top"/>
    </xf>
    <xf numFmtId="0" fontId="8" fillId="7" borderId="1" xfId="0" applyFont="1" applyFill="1" applyBorder="1" applyAlignment="1">
      <alignment vertical="top" wrapText="1"/>
    </xf>
    <xf numFmtId="0" fontId="8" fillId="7" borderId="1" xfId="0" applyFont="1" applyFill="1" applyBorder="1" applyAlignment="1">
      <alignment vertical="top"/>
    </xf>
    <xf numFmtId="3" fontId="8" fillId="7" borderId="1" xfId="0" applyNumberFormat="1" applyFont="1" applyFill="1" applyBorder="1" applyAlignment="1">
      <alignment vertical="top"/>
    </xf>
    <xf numFmtId="0" fontId="8" fillId="7" borderId="0" xfId="0" applyFont="1" applyFill="1" applyAlignment="1">
      <alignment vertical="top" wrapText="1"/>
    </xf>
    <xf numFmtId="4" fontId="8" fillId="7" borderId="1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topLeftCell="G1" zoomScaleNormal="100" workbookViewId="0">
      <pane ySplit="1" topLeftCell="A2" activePane="bottomLeft" state="frozen"/>
      <selection pane="bottomLeft" activeCell="M10" sqref="M10"/>
    </sheetView>
  </sheetViews>
  <sheetFormatPr baseColWidth="10" defaultColWidth="8.7109375" defaultRowHeight="15" x14ac:dyDescent="0.25"/>
  <cols>
    <col min="1" max="1" width="46" customWidth="1"/>
    <col min="2" max="2" width="12" customWidth="1"/>
    <col min="3" max="3" width="16" customWidth="1"/>
    <col min="4" max="4" width="34" customWidth="1"/>
    <col min="5" max="5" width="14" customWidth="1"/>
    <col min="6" max="6" width="22" customWidth="1"/>
    <col min="7" max="7" width="34" customWidth="1"/>
    <col min="8" max="8" width="10" customWidth="1"/>
    <col min="9" max="10" width="34" customWidth="1"/>
    <col min="11" max="11" width="15" customWidth="1"/>
    <col min="12" max="12" width="14" customWidth="1"/>
    <col min="13" max="13" width="26" customWidth="1"/>
    <col min="14" max="14" width="12" customWidth="1"/>
    <col min="15" max="15" width="48" customWidth="1"/>
    <col min="16" max="16" width="12" customWidth="1"/>
    <col min="17" max="17" width="30" customWidth="1"/>
  </cols>
  <sheetData>
    <row r="1" spans="1:18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0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5" customHeight="1" x14ac:dyDescent="0.25">
      <c r="A2" s="11" t="s">
        <v>18</v>
      </c>
      <c r="B2" s="12" t="s">
        <v>19</v>
      </c>
      <c r="C2" s="13">
        <v>2025215</v>
      </c>
      <c r="D2" s="14" t="s">
        <v>20</v>
      </c>
      <c r="E2" s="14" t="s">
        <v>21</v>
      </c>
      <c r="F2" s="14" t="s">
        <v>22</v>
      </c>
      <c r="G2" s="15" t="s">
        <v>23</v>
      </c>
      <c r="H2" s="14"/>
      <c r="I2" s="16" t="str">
        <f>IFERROR(VLOOKUP($H2,Resguardos_ANT!$A$2:$F$969,2,FALSE),"")</f>
        <v/>
      </c>
      <c r="J2" s="17" t="s">
        <v>24</v>
      </c>
      <c r="K2" s="16" t="str">
        <f>IFERROR(VLOOKUP($H2,Resguardos_ANT!$A$2:$F$969,5,FALSE),"")</f>
        <v/>
      </c>
      <c r="L2" s="16" t="str">
        <f>IFERROR(VLOOKUP($H2,Resguardos_ANT!$A$2:$F$969,4,FALSE),"")</f>
        <v/>
      </c>
      <c r="M2" s="18" t="str">
        <f>IFERROR(VLOOKUP($H2,Resguardos_ANT!$A$2:$F$969,6,FALSE),"")</f>
        <v/>
      </c>
      <c r="N2" s="14">
        <v>82626</v>
      </c>
      <c r="O2" s="14">
        <v>2015</v>
      </c>
      <c r="P2" s="15" t="s">
        <v>25</v>
      </c>
      <c r="Q2" s="14" t="s">
        <v>26</v>
      </c>
      <c r="R2" s="15" t="s">
        <v>27</v>
      </c>
    </row>
    <row r="3" spans="1:18" ht="23.85" customHeight="1" x14ac:dyDescent="0.25">
      <c r="A3" s="19" t="s">
        <v>28</v>
      </c>
      <c r="B3" s="20" t="s">
        <v>19</v>
      </c>
      <c r="C3" s="21">
        <v>266413</v>
      </c>
      <c r="D3" s="20" t="s">
        <v>29</v>
      </c>
      <c r="E3" s="20" t="s">
        <v>21</v>
      </c>
      <c r="F3" s="20" t="s">
        <v>30</v>
      </c>
      <c r="G3" s="19" t="s">
        <v>31</v>
      </c>
      <c r="H3" s="20"/>
      <c r="I3" s="20" t="str">
        <f>IFERROR(VLOOKUP($H3,Resguardos_ANT!$A$2:$F$969,2,FALSE),"")</f>
        <v/>
      </c>
      <c r="J3" s="22"/>
      <c r="K3" s="20" t="str">
        <f>IFERROR(VLOOKUP($H3,Resguardos_ANT!$A$2:$F$969,5,FALSE),"")</f>
        <v/>
      </c>
      <c r="L3" s="20" t="str">
        <f>IFERROR(VLOOKUP($H3,Resguardos_ANT!$A$2:$F$969,4,FALSE),"")</f>
        <v/>
      </c>
      <c r="M3" s="23" t="str">
        <f>IFERROR(VLOOKUP($H3,Resguardos_ANT!$A$2:$F$969,6,FALSE),"")</f>
        <v/>
      </c>
      <c r="N3" s="20"/>
      <c r="O3" s="20">
        <v>2017</v>
      </c>
      <c r="P3" s="19" t="s">
        <v>32</v>
      </c>
      <c r="Q3" s="20" t="s">
        <v>33</v>
      </c>
      <c r="R3" s="19" t="s">
        <v>34</v>
      </c>
    </row>
    <row r="4" spans="1:18" ht="15" customHeight="1" x14ac:dyDescent="0.25">
      <c r="A4" s="11" t="s">
        <v>35</v>
      </c>
      <c r="B4" s="12" t="s">
        <v>19</v>
      </c>
      <c r="C4" s="13">
        <v>828348</v>
      </c>
      <c r="D4" s="14" t="s">
        <v>36</v>
      </c>
      <c r="E4" s="14" t="s">
        <v>21</v>
      </c>
      <c r="F4" s="14" t="s">
        <v>37</v>
      </c>
      <c r="G4" s="15" t="s">
        <v>38</v>
      </c>
      <c r="H4" s="14"/>
      <c r="I4" s="16" t="str">
        <f>IFERROR(VLOOKUP($H4,Resguardos_ANT!$A$2:$F$969,2,FALSE),"")</f>
        <v/>
      </c>
      <c r="J4" s="17" t="s">
        <v>39</v>
      </c>
      <c r="K4" s="16" t="str">
        <f>IFERROR(VLOOKUP($H4,Resguardos_ANT!$A$2:$F$969,5,FALSE),"")</f>
        <v/>
      </c>
      <c r="L4" s="16" t="str">
        <f>IFERROR(VLOOKUP($H4,Resguardos_ANT!$A$2:$F$969,4,FALSE),"")</f>
        <v/>
      </c>
      <c r="M4" s="18" t="str">
        <f>IFERROR(VLOOKUP($H4,Resguardos_ANT!$A$2:$F$969,6,FALSE),"")</f>
        <v/>
      </c>
      <c r="N4" s="14"/>
      <c r="O4" s="14">
        <v>2018</v>
      </c>
      <c r="P4" s="15" t="s">
        <v>40</v>
      </c>
      <c r="Q4" s="14" t="s">
        <v>26</v>
      </c>
      <c r="R4" s="15" t="s">
        <v>41</v>
      </c>
    </row>
    <row r="5" spans="1:18" ht="15" customHeight="1" x14ac:dyDescent="0.25">
      <c r="A5" s="11" t="s">
        <v>42</v>
      </c>
      <c r="B5" s="12" t="s">
        <v>19</v>
      </c>
      <c r="C5" s="13">
        <v>1538581</v>
      </c>
      <c r="D5" s="14" t="s">
        <v>43</v>
      </c>
      <c r="E5" s="14" t="s">
        <v>21</v>
      </c>
      <c r="F5" s="14" t="s">
        <v>44</v>
      </c>
      <c r="G5" s="15" t="s">
        <v>45</v>
      </c>
      <c r="H5" s="14"/>
      <c r="I5" s="16" t="str">
        <f>IFERROR(VLOOKUP($H5,Resguardos_ANT!$A$2:$F$969,2,FALSE),"")</f>
        <v/>
      </c>
      <c r="J5" s="17"/>
      <c r="K5" s="16" t="str">
        <f>IFERROR(VLOOKUP($H5,Resguardos_ANT!$A$2:$F$969,5,FALSE),"")</f>
        <v/>
      </c>
      <c r="L5" s="16" t="str">
        <f>IFERROR(VLOOKUP($H5,Resguardos_ANT!$A$2:$F$969,4,FALSE),"")</f>
        <v/>
      </c>
      <c r="M5" s="18" t="str">
        <f>IFERROR(VLOOKUP($H5,Resguardos_ANT!$A$2:$F$969,6,FALSE),"")</f>
        <v/>
      </c>
      <c r="N5" s="14"/>
      <c r="O5" s="14">
        <v>2018</v>
      </c>
      <c r="P5" s="15" t="s">
        <v>46</v>
      </c>
      <c r="Q5" s="14" t="s">
        <v>47</v>
      </c>
      <c r="R5" s="15" t="s">
        <v>48</v>
      </c>
    </row>
    <row r="6" spans="1:18" ht="15" customHeight="1" x14ac:dyDescent="0.25">
      <c r="A6" s="11" t="s">
        <v>49</v>
      </c>
      <c r="B6" s="12" t="s">
        <v>19</v>
      </c>
      <c r="C6" s="13">
        <v>1631346</v>
      </c>
      <c r="D6" s="14" t="s">
        <v>50</v>
      </c>
      <c r="E6" s="14" t="s">
        <v>21</v>
      </c>
      <c r="F6" s="14" t="s">
        <v>37</v>
      </c>
      <c r="G6" s="15" t="s">
        <v>38</v>
      </c>
      <c r="H6" s="14"/>
      <c r="I6" s="16" t="str">
        <f>IFERROR(VLOOKUP($H6,Resguardos_ANT!$A$2:$F$969,2,FALSE),"")</f>
        <v/>
      </c>
      <c r="J6" s="17" t="s">
        <v>51</v>
      </c>
      <c r="K6" s="16" t="str">
        <f>IFERROR(VLOOKUP($H6,Resguardos_ANT!$A$2:$F$969,5,FALSE),"")</f>
        <v/>
      </c>
      <c r="L6" s="16" t="str">
        <f>IFERROR(VLOOKUP($H6,Resguardos_ANT!$A$2:$F$969,4,FALSE),"")</f>
        <v/>
      </c>
      <c r="M6" s="18" t="str">
        <f>IFERROR(VLOOKUP($H6,Resguardos_ANT!$A$2:$F$969,6,FALSE),"")</f>
        <v/>
      </c>
      <c r="N6" s="14"/>
      <c r="O6" s="14">
        <v>2018</v>
      </c>
      <c r="P6" s="15" t="s">
        <v>52</v>
      </c>
      <c r="Q6" s="14" t="s">
        <v>26</v>
      </c>
      <c r="R6" s="15" t="s">
        <v>53</v>
      </c>
    </row>
    <row r="7" spans="1:18" ht="15" customHeight="1" x14ac:dyDescent="0.25">
      <c r="A7" s="19" t="s">
        <v>54</v>
      </c>
      <c r="B7" s="20" t="s">
        <v>19</v>
      </c>
      <c r="C7" s="21">
        <v>127581</v>
      </c>
      <c r="D7" s="20" t="s">
        <v>55</v>
      </c>
      <c r="E7" s="20" t="s">
        <v>21</v>
      </c>
      <c r="F7" s="20" t="s">
        <v>44</v>
      </c>
      <c r="G7" s="19"/>
      <c r="H7" s="20"/>
      <c r="I7" s="20" t="str">
        <f>IFERROR(VLOOKUP($H7,Resguardos_ANT!$A$2:$F$969,2,FALSE),"")</f>
        <v/>
      </c>
      <c r="J7" s="22"/>
      <c r="K7" s="20" t="str">
        <f>IFERROR(VLOOKUP($H7,Resguardos_ANT!$A$2:$F$969,5,FALSE),"")</f>
        <v/>
      </c>
      <c r="L7" s="20" t="str">
        <f>IFERROR(VLOOKUP($H7,Resguardos_ANT!$A$2:$F$969,4,FALSE),"")</f>
        <v/>
      </c>
      <c r="M7" s="23" t="str">
        <f>IFERROR(VLOOKUP($H7,Resguardos_ANT!$A$2:$F$969,6,FALSE),"")</f>
        <v/>
      </c>
      <c r="N7" s="20"/>
      <c r="O7" s="20">
        <v>2018</v>
      </c>
      <c r="P7" s="19"/>
      <c r="Q7" s="20" t="s">
        <v>33</v>
      </c>
      <c r="R7" s="19" t="s">
        <v>56</v>
      </c>
    </row>
    <row r="8" spans="1:18" ht="15" customHeight="1" x14ac:dyDescent="0.25">
      <c r="A8" s="11" t="s">
        <v>57</v>
      </c>
      <c r="B8" s="12" t="s">
        <v>19</v>
      </c>
      <c r="C8" s="13">
        <v>287597</v>
      </c>
      <c r="D8" s="14" t="s">
        <v>58</v>
      </c>
      <c r="E8" s="14" t="s">
        <v>21</v>
      </c>
      <c r="F8" s="14" t="s">
        <v>37</v>
      </c>
      <c r="G8" s="15" t="s">
        <v>59</v>
      </c>
      <c r="H8" s="14"/>
      <c r="I8" s="16" t="str">
        <f>IFERROR(VLOOKUP($H8,Resguardos_ANT!$A$2:$F$969,2,FALSE),"")</f>
        <v/>
      </c>
      <c r="J8" s="17" t="s">
        <v>60</v>
      </c>
      <c r="K8" s="16" t="str">
        <f>IFERROR(VLOOKUP($H8,Resguardos_ANT!$A$2:$F$969,5,FALSE),"")</f>
        <v/>
      </c>
      <c r="L8" s="16" t="str">
        <f>IFERROR(VLOOKUP($H8,Resguardos_ANT!$A$2:$F$969,4,FALSE),"")</f>
        <v/>
      </c>
      <c r="M8" s="18" t="str">
        <f>IFERROR(VLOOKUP($H8,Resguardos_ANT!$A$2:$F$969,6,FALSE),"")</f>
        <v/>
      </c>
      <c r="N8" s="14"/>
      <c r="O8" s="14">
        <v>2016</v>
      </c>
      <c r="P8" s="15" t="s">
        <v>61</v>
      </c>
      <c r="Q8" s="14" t="s">
        <v>47</v>
      </c>
      <c r="R8" s="15" t="s">
        <v>62</v>
      </c>
    </row>
    <row r="9" spans="1:18" ht="15" customHeight="1" x14ac:dyDescent="0.25">
      <c r="A9" s="11" t="s">
        <v>63</v>
      </c>
      <c r="B9" s="12" t="s">
        <v>19</v>
      </c>
      <c r="C9" s="13">
        <v>3730876</v>
      </c>
      <c r="D9" s="14" t="s">
        <v>64</v>
      </c>
      <c r="E9" s="14" t="s">
        <v>21</v>
      </c>
      <c r="F9" s="14" t="s">
        <v>22</v>
      </c>
      <c r="G9" s="15" t="s">
        <v>65</v>
      </c>
      <c r="H9" s="14"/>
      <c r="I9" s="16" t="str">
        <f>IFERROR(VLOOKUP($H9,Resguardos_ANT!$A$2:$F$969,2,FALSE),"")</f>
        <v/>
      </c>
      <c r="J9" s="17" t="s">
        <v>66</v>
      </c>
      <c r="K9" s="16" t="str">
        <f>IFERROR(VLOOKUP($H9,Resguardos_ANT!$A$2:$F$969,5,FALSE),"")</f>
        <v/>
      </c>
      <c r="L9" s="16" t="str">
        <f>IFERROR(VLOOKUP($H9,Resguardos_ANT!$A$2:$F$969,4,FALSE),"")</f>
        <v/>
      </c>
      <c r="M9" s="18" t="str">
        <f>IFERROR(VLOOKUP($H9,Resguardos_ANT!$A$2:$F$969,6,FALSE),"")</f>
        <v/>
      </c>
      <c r="N9" s="14">
        <v>147000</v>
      </c>
      <c r="O9" s="14">
        <v>2016</v>
      </c>
      <c r="P9" s="15" t="s">
        <v>67</v>
      </c>
      <c r="Q9" s="14" t="s">
        <v>26</v>
      </c>
      <c r="R9" s="15" t="s">
        <v>68</v>
      </c>
    </row>
    <row r="10" spans="1:18" ht="15" customHeight="1" x14ac:dyDescent="0.25">
      <c r="A10" s="11" t="s">
        <v>69</v>
      </c>
      <c r="B10" s="12" t="s">
        <v>19</v>
      </c>
      <c r="C10" s="13">
        <v>5662606</v>
      </c>
      <c r="D10" s="14" t="s">
        <v>70</v>
      </c>
      <c r="E10" s="14" t="s">
        <v>21</v>
      </c>
      <c r="F10" s="14" t="s">
        <v>37</v>
      </c>
      <c r="G10" s="15" t="s">
        <v>71</v>
      </c>
      <c r="H10" s="14">
        <v>10372</v>
      </c>
      <c r="I10" s="16" t="str">
        <f>IFERROR(VLOOKUP($H10,Resguardos_ANT!$A$2:$F$969,2,FALSE),"")</f>
        <v>Resguardo Indígena Bajo Rio Guainia Y Rio Negro</v>
      </c>
      <c r="J10" s="17" t="s">
        <v>51</v>
      </c>
      <c r="K10" s="16" t="str">
        <f>IFERROR(VLOOKUP($H10,Resguardos_ANT!$A$2:$F$969,5,FALSE),"")</f>
        <v>94001</v>
      </c>
      <c r="L10" s="16" t="str">
        <f>IFERROR(VLOOKUP($H10,Resguardos_ANT!$A$2:$F$969,4,FALSE),"")</f>
        <v>94</v>
      </c>
      <c r="M10" s="18">
        <f>IFERROR(VLOOKUP($H10,Resguardos_ANT!$A$2:$F$969,6,FALSE),"")</f>
        <v>759200</v>
      </c>
      <c r="N10" s="14">
        <v>466757</v>
      </c>
      <c r="O10" s="14">
        <v>2018</v>
      </c>
      <c r="P10" s="15" t="s">
        <v>72</v>
      </c>
      <c r="Q10" s="14" t="s">
        <v>26</v>
      </c>
      <c r="R10" s="15" t="s">
        <v>73</v>
      </c>
    </row>
    <row r="11" spans="1:18" ht="15" customHeight="1" x14ac:dyDescent="0.25">
      <c r="A11" s="11" t="s">
        <v>74</v>
      </c>
      <c r="B11" s="12" t="s">
        <v>19</v>
      </c>
      <c r="C11" s="13">
        <v>4947</v>
      </c>
      <c r="D11" s="14" t="s">
        <v>75</v>
      </c>
      <c r="E11" s="14" t="s">
        <v>21</v>
      </c>
      <c r="F11" s="14" t="s">
        <v>76</v>
      </c>
      <c r="G11" s="15" t="s">
        <v>77</v>
      </c>
      <c r="H11" s="14"/>
      <c r="I11" s="16" t="str">
        <f>IFERROR(VLOOKUP($H11,Resguardos_ANT!$A$2:$F$969,2,FALSE),"")</f>
        <v/>
      </c>
      <c r="J11" s="17" t="s">
        <v>78</v>
      </c>
      <c r="K11" s="16" t="str">
        <f>IFERROR(VLOOKUP($H11,Resguardos_ANT!$A$2:$F$969,5,FALSE),"")</f>
        <v/>
      </c>
      <c r="L11" s="16" t="str">
        <f>IFERROR(VLOOKUP($H11,Resguardos_ANT!$A$2:$F$969,4,FALSE),"")</f>
        <v/>
      </c>
      <c r="M11" s="18" t="str">
        <f>IFERROR(VLOOKUP($H11,Resguardos_ANT!$A$2:$F$969,6,FALSE),"")</f>
        <v/>
      </c>
      <c r="N11" s="14"/>
      <c r="O11" s="14">
        <v>2014</v>
      </c>
      <c r="P11" s="15" t="s">
        <v>79</v>
      </c>
      <c r="Q11" s="14" t="s">
        <v>26</v>
      </c>
      <c r="R11" s="15" t="s">
        <v>80</v>
      </c>
    </row>
    <row r="12" spans="1:18" ht="15" customHeight="1" x14ac:dyDescent="0.25">
      <c r="A12" s="11" t="s">
        <v>81</v>
      </c>
      <c r="B12" s="12" t="s">
        <v>19</v>
      </c>
      <c r="C12" s="13">
        <v>1112174</v>
      </c>
      <c r="D12" s="14" t="s">
        <v>82</v>
      </c>
      <c r="E12" s="14" t="s">
        <v>21</v>
      </c>
      <c r="F12" s="14" t="s">
        <v>37</v>
      </c>
      <c r="G12" s="15" t="s">
        <v>83</v>
      </c>
      <c r="H12" s="14">
        <v>10743</v>
      </c>
      <c r="I12" s="16" t="str">
        <f>IFERROR(VLOOKUP($H12,Resguardos_ANT!$A$2:$F$969,2,FALSE),"")</f>
        <v>Resguardo Indígena Vaupes</v>
      </c>
      <c r="J12" s="17" t="s">
        <v>39</v>
      </c>
      <c r="K12" s="16" t="str">
        <f>IFERROR(VLOOKUP($H12,Resguardos_ANT!$A$2:$F$969,5,FALSE),"")</f>
        <v>97001</v>
      </c>
      <c r="L12" s="16" t="str">
        <f>IFERROR(VLOOKUP($H12,Resguardos_ANT!$A$2:$F$969,4,FALSE),"")</f>
        <v>97</v>
      </c>
      <c r="M12" s="18">
        <f>IFERROR(VLOOKUP($H12,Resguardos_ANT!$A$2:$F$969,6,FALSE),"")</f>
        <v>3955168.9112999998</v>
      </c>
      <c r="N12" s="14">
        <v>133806</v>
      </c>
      <c r="O12" s="14">
        <v>2018</v>
      </c>
      <c r="P12" s="15" t="s">
        <v>84</v>
      </c>
      <c r="Q12" s="14" t="s">
        <v>47</v>
      </c>
      <c r="R12" s="15" t="s">
        <v>85</v>
      </c>
    </row>
    <row r="13" spans="1:18" ht="15" customHeight="1" x14ac:dyDescent="0.25">
      <c r="A13" s="11" t="s">
        <v>86</v>
      </c>
      <c r="B13" s="12" t="s">
        <v>19</v>
      </c>
      <c r="C13" s="13">
        <v>3753988</v>
      </c>
      <c r="D13" s="14" t="s">
        <v>87</v>
      </c>
      <c r="E13" s="14" t="s">
        <v>21</v>
      </c>
      <c r="F13" s="14" t="s">
        <v>22</v>
      </c>
      <c r="G13" s="15" t="s">
        <v>88</v>
      </c>
      <c r="H13" s="14"/>
      <c r="I13" s="16" t="str">
        <f>IFERROR(VLOOKUP($H13,Resguardos_ANT!$A$2:$F$969,2,FALSE),"")</f>
        <v/>
      </c>
      <c r="J13" s="17" t="s">
        <v>89</v>
      </c>
      <c r="K13" s="16" t="str">
        <f>IFERROR(VLOOKUP($H13,Resguardos_ANT!$A$2:$F$969,5,FALSE),"")</f>
        <v/>
      </c>
      <c r="L13" s="16" t="str">
        <f>IFERROR(VLOOKUP($H13,Resguardos_ANT!$A$2:$F$969,4,FALSE),"")</f>
        <v/>
      </c>
      <c r="M13" s="18" t="str">
        <f>IFERROR(VLOOKUP($H13,Resguardos_ANT!$A$2:$F$969,6,FALSE),"")</f>
        <v/>
      </c>
      <c r="N13" s="14"/>
      <c r="O13" s="14">
        <v>2015</v>
      </c>
      <c r="P13" s="15" t="s">
        <v>90</v>
      </c>
      <c r="Q13" s="14" t="s">
        <v>47</v>
      </c>
      <c r="R13" s="15" t="s">
        <v>91</v>
      </c>
    </row>
    <row r="14" spans="1:18" ht="15" customHeight="1" x14ac:dyDescent="0.25">
      <c r="A14" s="11" t="s">
        <v>92</v>
      </c>
      <c r="B14" s="12" t="s">
        <v>19</v>
      </c>
      <c r="C14" s="13">
        <v>1443877</v>
      </c>
      <c r="D14" s="14" t="s">
        <v>93</v>
      </c>
      <c r="E14" s="14" t="s">
        <v>21</v>
      </c>
      <c r="F14" s="14" t="s">
        <v>22</v>
      </c>
      <c r="G14" s="15" t="s">
        <v>94</v>
      </c>
      <c r="H14" s="14"/>
      <c r="I14" s="16" t="str">
        <f>IFERROR(VLOOKUP($H14,Resguardos_ANT!$A$2:$F$969,2,FALSE),"")</f>
        <v/>
      </c>
      <c r="J14" s="17" t="s">
        <v>95</v>
      </c>
      <c r="K14" s="16" t="str">
        <f>IFERROR(VLOOKUP($H14,Resguardos_ANT!$A$2:$F$969,5,FALSE),"")</f>
        <v/>
      </c>
      <c r="L14" s="16" t="str">
        <f>IFERROR(VLOOKUP($H14,Resguardos_ANT!$A$2:$F$969,4,FALSE),"")</f>
        <v/>
      </c>
      <c r="M14" s="18" t="str">
        <f>IFERROR(VLOOKUP($H14,Resguardos_ANT!$A$2:$F$969,6,FALSE),"")</f>
        <v/>
      </c>
      <c r="N14" s="14"/>
      <c r="O14" s="14">
        <v>2020</v>
      </c>
      <c r="P14" s="15" t="s">
        <v>96</v>
      </c>
      <c r="Q14" s="14" t="s">
        <v>26</v>
      </c>
      <c r="R14" s="15" t="s">
        <v>97</v>
      </c>
    </row>
    <row r="15" spans="1:18" ht="15" customHeight="1" x14ac:dyDescent="0.25">
      <c r="A15" s="11" t="s">
        <v>98</v>
      </c>
      <c r="B15" s="12" t="s">
        <v>19</v>
      </c>
      <c r="C15" s="13">
        <v>1057980</v>
      </c>
      <c r="D15" s="14" t="s">
        <v>99</v>
      </c>
      <c r="E15" s="14" t="s">
        <v>21</v>
      </c>
      <c r="F15" s="14" t="s">
        <v>37</v>
      </c>
      <c r="G15" s="15" t="s">
        <v>38</v>
      </c>
      <c r="H15" s="14"/>
      <c r="I15" s="16" t="str">
        <f>IFERROR(VLOOKUP($H15,Resguardos_ANT!$A$2:$F$969,2,FALSE),"")</f>
        <v/>
      </c>
      <c r="J15" s="17" t="s">
        <v>39</v>
      </c>
      <c r="K15" s="16" t="str">
        <f>IFERROR(VLOOKUP($H15,Resguardos_ANT!$A$2:$F$969,5,FALSE),"")</f>
        <v/>
      </c>
      <c r="L15" s="16" t="str">
        <f>IFERROR(VLOOKUP($H15,Resguardos_ANT!$A$2:$F$969,4,FALSE),"")</f>
        <v/>
      </c>
      <c r="M15" s="18" t="str">
        <f>IFERROR(VLOOKUP($H15,Resguardos_ANT!$A$2:$F$969,6,FALSE),"")</f>
        <v/>
      </c>
      <c r="N15" s="14"/>
      <c r="O15" s="14">
        <v>2018</v>
      </c>
      <c r="P15" s="15" t="s">
        <v>40</v>
      </c>
      <c r="Q15" s="14" t="s">
        <v>26</v>
      </c>
      <c r="R15" s="15" t="s">
        <v>53</v>
      </c>
    </row>
    <row r="16" spans="1:18" ht="15" customHeight="1" x14ac:dyDescent="0.25">
      <c r="A16" s="11" t="s">
        <v>100</v>
      </c>
      <c r="B16" s="12" t="s">
        <v>19</v>
      </c>
      <c r="C16" s="13">
        <v>6710197</v>
      </c>
      <c r="D16" s="14" t="s">
        <v>101</v>
      </c>
      <c r="E16" s="14" t="s">
        <v>21</v>
      </c>
      <c r="F16" s="14" t="s">
        <v>37</v>
      </c>
      <c r="G16" s="15" t="s">
        <v>102</v>
      </c>
      <c r="H16" s="14">
        <v>10413</v>
      </c>
      <c r="I16" s="16" t="str">
        <f>IFERROR(VLOOKUP($H16,Resguardos_ANT!$A$2:$F$969,2,FALSE),"")</f>
        <v>Resguardo Indígena Puinave y Curripaco de Morichal Viejo - Santa Rosa, Cerro Cucuy, Santa Cruz, Caño Danta</v>
      </c>
      <c r="J16" s="17"/>
      <c r="K16" s="16" t="str">
        <f>IFERROR(VLOOKUP($H16,Resguardos_ANT!$A$2:$F$969,5,FALSE),"")</f>
        <v>95025</v>
      </c>
      <c r="L16" s="16" t="str">
        <f>IFERROR(VLOOKUP($H16,Resguardos_ANT!$A$2:$F$969,4,FALSE),"")</f>
        <v>95</v>
      </c>
      <c r="M16" s="18">
        <f>IFERROR(VLOOKUP($H16,Resguardos_ANT!$A$2:$F$969,6,FALSE),"")</f>
        <v>670000</v>
      </c>
      <c r="N16" s="14">
        <v>671145</v>
      </c>
      <c r="O16" s="14">
        <v>2016</v>
      </c>
      <c r="P16" s="15" t="s">
        <v>103</v>
      </c>
      <c r="Q16" s="14" t="s">
        <v>26</v>
      </c>
      <c r="R16" s="15" t="s">
        <v>104</v>
      </c>
    </row>
    <row r="17" spans="1:18" ht="15" customHeight="1" x14ac:dyDescent="0.25">
      <c r="A17" s="11" t="s">
        <v>105</v>
      </c>
      <c r="B17" s="12" t="s">
        <v>19</v>
      </c>
      <c r="C17" s="13">
        <v>3671289</v>
      </c>
      <c r="D17" s="14" t="s">
        <v>106</v>
      </c>
      <c r="E17" s="14" t="s">
        <v>21</v>
      </c>
      <c r="F17" s="14" t="s">
        <v>22</v>
      </c>
      <c r="G17" s="15" t="s">
        <v>107</v>
      </c>
      <c r="H17" s="14"/>
      <c r="I17" s="16" t="str">
        <f>IFERROR(VLOOKUP($H17,Resguardos_ANT!$A$2:$F$969,2,FALSE),"")</f>
        <v/>
      </c>
      <c r="J17" s="17" t="s">
        <v>89</v>
      </c>
      <c r="K17" s="16" t="str">
        <f>IFERROR(VLOOKUP($H17,Resguardos_ANT!$A$2:$F$969,5,FALSE),"")</f>
        <v/>
      </c>
      <c r="L17" s="16" t="str">
        <f>IFERROR(VLOOKUP($H17,Resguardos_ANT!$A$2:$F$969,4,FALSE),"")</f>
        <v/>
      </c>
      <c r="M17" s="18" t="str">
        <f>IFERROR(VLOOKUP($H17,Resguardos_ANT!$A$2:$F$969,6,FALSE),"")</f>
        <v/>
      </c>
      <c r="N17" s="14">
        <v>371749</v>
      </c>
      <c r="O17" s="14">
        <v>2017</v>
      </c>
      <c r="P17" s="15" t="s">
        <v>108</v>
      </c>
      <c r="Q17" s="14" t="s">
        <v>47</v>
      </c>
      <c r="R17" s="15" t="s">
        <v>109</v>
      </c>
    </row>
    <row r="18" spans="1:18" ht="15" customHeight="1" x14ac:dyDescent="0.25">
      <c r="A18" s="11" t="s">
        <v>110</v>
      </c>
      <c r="B18" s="12" t="s">
        <v>19</v>
      </c>
      <c r="C18" s="13">
        <v>783573</v>
      </c>
      <c r="D18" s="14" t="s">
        <v>111</v>
      </c>
      <c r="E18" s="14" t="s">
        <v>21</v>
      </c>
      <c r="F18" s="14" t="s">
        <v>22</v>
      </c>
      <c r="G18" s="15" t="s">
        <v>112</v>
      </c>
      <c r="H18" s="14"/>
      <c r="I18" s="16" t="str">
        <f>IFERROR(VLOOKUP($H18,Resguardos_ANT!$A$2:$F$969,2,FALSE),"")</f>
        <v/>
      </c>
      <c r="J18" s="17" t="s">
        <v>113</v>
      </c>
      <c r="K18" s="16" t="str">
        <f>IFERROR(VLOOKUP($H18,Resguardos_ANT!$A$2:$F$969,5,FALSE),"")</f>
        <v/>
      </c>
      <c r="L18" s="16" t="str">
        <f>IFERROR(VLOOKUP($H18,Resguardos_ANT!$A$2:$F$969,4,FALSE),"")</f>
        <v/>
      </c>
      <c r="M18" s="18" t="str">
        <f>IFERROR(VLOOKUP($H18,Resguardos_ANT!$A$2:$F$969,6,FALSE),"")</f>
        <v/>
      </c>
      <c r="N18" s="14">
        <v>93142</v>
      </c>
      <c r="O18" s="14">
        <v>2017</v>
      </c>
      <c r="P18" s="15" t="s">
        <v>114</v>
      </c>
      <c r="Q18" s="14" t="s">
        <v>26</v>
      </c>
      <c r="R18" s="15" t="s">
        <v>53</v>
      </c>
    </row>
    <row r="19" spans="1:18" ht="15" customHeight="1" x14ac:dyDescent="0.25">
      <c r="A19" s="11" t="s">
        <v>115</v>
      </c>
      <c r="B19" s="12" t="s">
        <v>19</v>
      </c>
      <c r="C19" s="13">
        <v>1206320</v>
      </c>
      <c r="D19" s="14" t="s">
        <v>116</v>
      </c>
      <c r="E19" s="14" t="s">
        <v>21</v>
      </c>
      <c r="F19" s="14" t="s">
        <v>37</v>
      </c>
      <c r="G19" s="15" t="s">
        <v>38</v>
      </c>
      <c r="H19" s="14"/>
      <c r="I19" s="16" t="str">
        <f>IFERROR(VLOOKUP($H19,Resguardos_ANT!$A$2:$F$969,2,FALSE),"")</f>
        <v/>
      </c>
      <c r="J19" s="17" t="s">
        <v>117</v>
      </c>
      <c r="K19" s="16" t="str">
        <f>IFERROR(VLOOKUP($H19,Resguardos_ANT!$A$2:$F$969,5,FALSE),"")</f>
        <v/>
      </c>
      <c r="L19" s="16" t="str">
        <f>IFERROR(VLOOKUP($H19,Resguardos_ANT!$A$2:$F$969,4,FALSE),"")</f>
        <v/>
      </c>
      <c r="M19" s="18" t="str">
        <f>IFERROR(VLOOKUP($H19,Resguardos_ANT!$A$2:$F$969,6,FALSE),"")</f>
        <v/>
      </c>
      <c r="N19" s="14"/>
      <c r="O19" s="14">
        <v>2018</v>
      </c>
      <c r="P19" s="15" t="s">
        <v>118</v>
      </c>
      <c r="Q19" s="14" t="s">
        <v>26</v>
      </c>
      <c r="R19" s="15" t="s">
        <v>53</v>
      </c>
    </row>
    <row r="20" spans="1:18" ht="15" customHeight="1" x14ac:dyDescent="0.25">
      <c r="A20" s="11" t="s">
        <v>119</v>
      </c>
      <c r="B20" s="12" t="s">
        <v>19</v>
      </c>
      <c r="C20" s="13">
        <v>504276</v>
      </c>
      <c r="D20" s="14" t="s">
        <v>120</v>
      </c>
      <c r="E20" s="14" t="s">
        <v>21</v>
      </c>
      <c r="F20" s="14" t="s">
        <v>37</v>
      </c>
      <c r="G20" s="15" t="s">
        <v>121</v>
      </c>
      <c r="H20" s="14">
        <v>10372</v>
      </c>
      <c r="I20" s="16" t="str">
        <f>IFERROR(VLOOKUP($H20,Resguardos_ANT!$A$2:$F$969,2,FALSE),"")</f>
        <v>Resguardo Indígena Bajo Rio Guainia Y Rio Negro</v>
      </c>
      <c r="J20" s="17" t="s">
        <v>51</v>
      </c>
      <c r="K20" s="16" t="str">
        <f>IFERROR(VLOOKUP($H20,Resguardos_ANT!$A$2:$F$969,5,FALSE),"")</f>
        <v>94001</v>
      </c>
      <c r="L20" s="16" t="str">
        <f>IFERROR(VLOOKUP($H20,Resguardos_ANT!$A$2:$F$969,4,FALSE),"")</f>
        <v>94</v>
      </c>
      <c r="M20" s="18">
        <f>IFERROR(VLOOKUP($H20,Resguardos_ANT!$A$2:$F$969,6,FALSE),"")</f>
        <v>759200</v>
      </c>
      <c r="N20" s="14">
        <v>293400.88</v>
      </c>
      <c r="O20" s="14">
        <v>2022</v>
      </c>
      <c r="P20" s="15" t="s">
        <v>122</v>
      </c>
      <c r="Q20" s="14" t="s">
        <v>26</v>
      </c>
      <c r="R20" s="15" t="s">
        <v>123</v>
      </c>
    </row>
    <row r="21" spans="1:18" ht="15" customHeight="1" x14ac:dyDescent="0.25">
      <c r="A21" s="11" t="s">
        <v>124</v>
      </c>
      <c r="B21" s="12" t="s">
        <v>19</v>
      </c>
      <c r="C21" s="13">
        <v>4593219</v>
      </c>
      <c r="D21" s="14" t="s">
        <v>125</v>
      </c>
      <c r="E21" s="14" t="s">
        <v>21</v>
      </c>
      <c r="F21" s="14" t="s">
        <v>37</v>
      </c>
      <c r="G21" s="15" t="s">
        <v>126</v>
      </c>
      <c r="H21" s="14">
        <v>10384</v>
      </c>
      <c r="I21" s="16" t="str">
        <f>IFERROR(VLOOKUP($H21,Resguardos_ANT!$A$2:$F$969,2,FALSE),"")</f>
        <v>Resguardo Indígena Puinave y Sikuani de Laguna Niñal, Cocuy, Loma Baja y Loma Alta del Caño Guariben</v>
      </c>
      <c r="J21" s="17" t="s">
        <v>51</v>
      </c>
      <c r="K21" s="16" t="str">
        <f>IFERROR(VLOOKUP($H21,Resguardos_ANT!$A$2:$F$969,5,FALSE),"")</f>
        <v>94001</v>
      </c>
      <c r="L21" s="16" t="str">
        <f>IFERROR(VLOOKUP($H21,Resguardos_ANT!$A$2:$F$969,4,FALSE),"")</f>
        <v>94</v>
      </c>
      <c r="M21" s="18">
        <f>IFERROR(VLOOKUP($H21,Resguardos_ANT!$A$2:$F$969,6,FALSE),"")</f>
        <v>138437.5</v>
      </c>
      <c r="N21" s="14">
        <v>130404</v>
      </c>
      <c r="O21" s="14">
        <v>2017</v>
      </c>
      <c r="P21" s="15" t="s">
        <v>127</v>
      </c>
      <c r="Q21" s="14" t="s">
        <v>26</v>
      </c>
      <c r="R21" s="15" t="s">
        <v>128</v>
      </c>
    </row>
    <row r="22" spans="1:18" ht="15" customHeight="1" x14ac:dyDescent="0.25">
      <c r="A22" s="11" t="s">
        <v>129</v>
      </c>
      <c r="B22" s="12" t="s">
        <v>19</v>
      </c>
      <c r="C22" s="13">
        <v>4765619</v>
      </c>
      <c r="D22" s="14" t="s">
        <v>130</v>
      </c>
      <c r="E22" s="14" t="s">
        <v>21</v>
      </c>
      <c r="F22" s="14" t="s">
        <v>37</v>
      </c>
      <c r="G22" s="15" t="s">
        <v>131</v>
      </c>
      <c r="H22" s="14"/>
      <c r="I22" s="16" t="str">
        <f>IFERROR(VLOOKUP($H22,Resguardos_ANT!$A$2:$F$969,2,FALSE),"")</f>
        <v/>
      </c>
      <c r="J22" s="17" t="s">
        <v>51</v>
      </c>
      <c r="K22" s="16" t="str">
        <f>IFERROR(VLOOKUP($H22,Resguardos_ANT!$A$2:$F$969,5,FALSE),"")</f>
        <v/>
      </c>
      <c r="L22" s="16" t="str">
        <f>IFERROR(VLOOKUP($H22,Resguardos_ANT!$A$2:$F$969,4,FALSE),"")</f>
        <v/>
      </c>
      <c r="M22" s="18" t="str">
        <f>IFERROR(VLOOKUP($H22,Resguardos_ANT!$A$2:$F$969,6,FALSE),"")</f>
        <v/>
      </c>
      <c r="N22" s="14"/>
      <c r="O22" s="14">
        <v>2018</v>
      </c>
      <c r="P22" s="15" t="s">
        <v>132</v>
      </c>
      <c r="Q22" s="14" t="s">
        <v>47</v>
      </c>
      <c r="R22" s="15" t="s">
        <v>133</v>
      </c>
    </row>
    <row r="23" spans="1:18" ht="15" customHeight="1" x14ac:dyDescent="0.25">
      <c r="A23" s="11" t="s">
        <v>134</v>
      </c>
      <c r="B23" s="12" t="s">
        <v>19</v>
      </c>
      <c r="C23" s="13">
        <v>1701850</v>
      </c>
      <c r="D23" s="14" t="s">
        <v>135</v>
      </c>
      <c r="E23" s="14" t="s">
        <v>21</v>
      </c>
      <c r="F23" s="14" t="s">
        <v>37</v>
      </c>
      <c r="G23" s="15" t="s">
        <v>136</v>
      </c>
      <c r="H23" s="14">
        <v>10394</v>
      </c>
      <c r="I23" s="16" t="str">
        <f>IFERROR(VLOOKUP($H23,Resguardos_ANT!$A$2:$F$969,2,FALSE),"")</f>
        <v>Resguardo Indígena Curripaco de Tonina, Sejal, San Jose y Otras</v>
      </c>
      <c r="J23" s="17" t="s">
        <v>51</v>
      </c>
      <c r="K23" s="16" t="str">
        <f>IFERROR(VLOOKUP($H23,Resguardos_ANT!$A$2:$F$969,5,FALSE),"")</f>
        <v>94001</v>
      </c>
      <c r="L23" s="16" t="str">
        <f>IFERROR(VLOOKUP($H23,Resguardos_ANT!$A$2:$F$969,4,FALSE),"")</f>
        <v>94</v>
      </c>
      <c r="M23" s="18">
        <f>IFERROR(VLOOKUP($H23,Resguardos_ANT!$A$2:$F$969,6,FALSE),"")</f>
        <v>853320</v>
      </c>
      <c r="N23" s="14">
        <v>853320</v>
      </c>
      <c r="O23" s="14">
        <v>2018</v>
      </c>
      <c r="P23" s="15" t="s">
        <v>137</v>
      </c>
      <c r="Q23" s="14" t="s">
        <v>26</v>
      </c>
      <c r="R23" s="15" t="s">
        <v>138</v>
      </c>
    </row>
    <row r="25" spans="1:18" ht="15" customHeight="1" x14ac:dyDescent="0.25">
      <c r="A25" s="2" t="s">
        <v>139</v>
      </c>
      <c r="B25" s="3" t="s">
        <v>19</v>
      </c>
      <c r="C25" s="3">
        <v>999999</v>
      </c>
      <c r="D25" s="3" t="s">
        <v>140</v>
      </c>
      <c r="E25" s="3" t="s">
        <v>21</v>
      </c>
      <c r="F25" s="3" t="s">
        <v>37</v>
      </c>
      <c r="G25" s="3" t="s">
        <v>141</v>
      </c>
      <c r="H25" s="3">
        <v>10254</v>
      </c>
      <c r="N25" s="3" t="s">
        <v>142</v>
      </c>
      <c r="O25" s="3">
        <v>2019</v>
      </c>
      <c r="P25" s="3" t="s">
        <v>143</v>
      </c>
      <c r="Q25" s="3" t="s">
        <v>26</v>
      </c>
      <c r="R25" s="3" t="s">
        <v>144</v>
      </c>
    </row>
  </sheetData>
  <dataValidations count="2">
    <dataValidation type="list" allowBlank="1" sqref="F2:F23" xr:uid="{00000000-0002-0000-0000-000000000000}">
      <formula1>"Resguardo indigena,Consejo comunitario,Territorio colectivo en titulacion,Predio privado,Otro,No determinado"</formula1>
      <formula2>0</formula2>
    </dataValidation>
    <dataValidation type="list" allowBlank="1" sqref="P2:P23" xr:uid="{00000000-0002-0000-0000-000001000000}">
      <formula1>"alta,media,baja"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zoomScaleNormal="100" workbookViewId="0"/>
  </sheetViews>
  <sheetFormatPr baseColWidth="10" defaultColWidth="8.7109375" defaultRowHeight="15" x14ac:dyDescent="0.25"/>
  <cols>
    <col min="1" max="1" width="26" customWidth="1"/>
    <col min="2" max="2" width="100" customWidth="1"/>
  </cols>
  <sheetData>
    <row r="1" spans="1:2" ht="16.149999999999999" customHeight="1" x14ac:dyDescent="0.25">
      <c r="A1" s="4" t="s">
        <v>145</v>
      </c>
      <c r="B1" s="5"/>
    </row>
    <row r="2" spans="1:2" ht="15" customHeight="1" x14ac:dyDescent="0.25">
      <c r="A2" s="6"/>
      <c r="B2" s="5"/>
    </row>
    <row r="3" spans="1:2" ht="23.85" customHeight="1" x14ac:dyDescent="0.25">
      <c r="A3" s="6" t="s">
        <v>146</v>
      </c>
      <c r="B3" s="5" t="s">
        <v>147</v>
      </c>
    </row>
    <row r="4" spans="1:2" ht="23.85" customHeight="1" x14ac:dyDescent="0.25">
      <c r="A4" s="6"/>
      <c r="B4" s="5" t="s">
        <v>148</v>
      </c>
    </row>
    <row r="5" spans="1:2" ht="15" customHeight="1" x14ac:dyDescent="0.25">
      <c r="A5" s="6"/>
      <c r="B5" s="5"/>
    </row>
    <row r="6" spans="1:2" ht="15" customHeight="1" x14ac:dyDescent="0.25">
      <c r="A6" s="6" t="s">
        <v>149</v>
      </c>
      <c r="B6" s="5" t="s">
        <v>150</v>
      </c>
    </row>
    <row r="7" spans="1:2" ht="15" customHeight="1" x14ac:dyDescent="0.25">
      <c r="A7" s="6"/>
      <c r="B7" s="5"/>
    </row>
    <row r="8" spans="1:2" ht="15" customHeight="1" x14ac:dyDescent="0.25">
      <c r="A8" s="6" t="s">
        <v>151</v>
      </c>
      <c r="B8" s="5" t="s">
        <v>152</v>
      </c>
    </row>
    <row r="9" spans="1:2" ht="15" customHeight="1" x14ac:dyDescent="0.25">
      <c r="A9" s="6"/>
      <c r="B9" s="5" t="s">
        <v>153</v>
      </c>
    </row>
    <row r="10" spans="1:2" ht="23.85" customHeight="1" x14ac:dyDescent="0.25">
      <c r="A10" s="6"/>
      <c r="B10" s="5" t="s">
        <v>154</v>
      </c>
    </row>
    <row r="11" spans="1:2" ht="23.85" customHeight="1" x14ac:dyDescent="0.25">
      <c r="A11" s="6"/>
      <c r="B11" s="5" t="s">
        <v>155</v>
      </c>
    </row>
    <row r="12" spans="1:2" ht="15" customHeight="1" x14ac:dyDescent="0.25">
      <c r="A12" s="6"/>
      <c r="B12" s="5" t="s">
        <v>156</v>
      </c>
    </row>
    <row r="13" spans="1:2" ht="23.85" customHeight="1" x14ac:dyDescent="0.25">
      <c r="A13" s="6"/>
      <c r="B13" s="5" t="s">
        <v>157</v>
      </c>
    </row>
    <row r="14" spans="1:2" ht="23.85" customHeight="1" x14ac:dyDescent="0.25">
      <c r="A14" s="6"/>
      <c r="B14" s="5" t="s">
        <v>158</v>
      </c>
    </row>
    <row r="15" spans="1:2" ht="15" customHeight="1" x14ac:dyDescent="0.25">
      <c r="A15" s="6"/>
      <c r="B15" s="5"/>
    </row>
    <row r="16" spans="1:2" ht="15" customHeight="1" x14ac:dyDescent="0.25">
      <c r="A16" s="6" t="s">
        <v>159</v>
      </c>
      <c r="B16" s="5" t="s">
        <v>160</v>
      </c>
    </row>
    <row r="17" spans="1:2" ht="15" customHeight="1" x14ac:dyDescent="0.25">
      <c r="A17" s="6"/>
      <c r="B17" s="5" t="s">
        <v>161</v>
      </c>
    </row>
    <row r="18" spans="1:2" ht="15" customHeight="1" x14ac:dyDescent="0.25">
      <c r="A18" s="6"/>
      <c r="B18" s="5" t="s">
        <v>162</v>
      </c>
    </row>
    <row r="19" spans="1:2" ht="15" customHeight="1" x14ac:dyDescent="0.25">
      <c r="A19" s="6"/>
      <c r="B19" s="5"/>
    </row>
    <row r="20" spans="1:2" ht="23.85" customHeight="1" x14ac:dyDescent="0.25">
      <c r="A20" s="6" t="s">
        <v>163</v>
      </c>
      <c r="B20" s="5" t="s">
        <v>164</v>
      </c>
    </row>
    <row r="21" spans="1:2" ht="15" customHeight="1" x14ac:dyDescent="0.25">
      <c r="A21" s="6"/>
      <c r="B21" s="5"/>
    </row>
    <row r="22" spans="1:2" ht="23.85" customHeight="1" x14ac:dyDescent="0.25">
      <c r="A22" s="6" t="s">
        <v>165</v>
      </c>
      <c r="B22" s="5" t="s">
        <v>166</v>
      </c>
    </row>
    <row r="23" spans="1:2" ht="15" customHeight="1" x14ac:dyDescent="0.25">
      <c r="A23" s="6" t="s">
        <v>167</v>
      </c>
      <c r="B23" s="5" t="s">
        <v>168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6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10" customWidth="1"/>
    <col min="2" max="2" width="50" customWidth="1"/>
    <col min="3" max="3" width="20" customWidth="1"/>
    <col min="4" max="4" width="14" customWidth="1"/>
    <col min="5" max="5" width="12" customWidth="1"/>
    <col min="6" max="6" width="20" customWidth="1"/>
  </cols>
  <sheetData>
    <row r="1" spans="1:6" ht="15" customHeight="1" x14ac:dyDescent="0.25">
      <c r="A1" s="7" t="s">
        <v>169</v>
      </c>
      <c r="B1" s="7" t="s">
        <v>170</v>
      </c>
      <c r="C1" s="7" t="s">
        <v>171</v>
      </c>
      <c r="D1" s="7" t="s">
        <v>172</v>
      </c>
      <c r="E1" s="7" t="s">
        <v>173</v>
      </c>
      <c r="F1" s="7" t="s">
        <v>174</v>
      </c>
    </row>
    <row r="2" spans="1:6" ht="15" customHeight="1" x14ac:dyDescent="0.25">
      <c r="A2" s="8">
        <v>10254</v>
      </c>
      <c r="B2" s="8" t="s">
        <v>175</v>
      </c>
      <c r="C2" s="8" t="s">
        <v>176</v>
      </c>
      <c r="D2" s="8" t="s">
        <v>177</v>
      </c>
      <c r="E2" s="8" t="s">
        <v>178</v>
      </c>
      <c r="F2" s="8">
        <v>8530</v>
      </c>
    </row>
    <row r="3" spans="1:6" ht="15" customHeight="1" x14ac:dyDescent="0.25">
      <c r="A3" s="8">
        <v>10135</v>
      </c>
      <c r="B3" s="8" t="s">
        <v>179</v>
      </c>
      <c r="C3" s="8" t="s">
        <v>180</v>
      </c>
      <c r="D3" s="8" t="s">
        <v>181</v>
      </c>
      <c r="E3" s="8" t="s">
        <v>182</v>
      </c>
      <c r="F3" s="8">
        <v>1602.8693000000001</v>
      </c>
    </row>
    <row r="4" spans="1:6" ht="15" customHeight="1" x14ac:dyDescent="0.25">
      <c r="A4" s="8">
        <v>10138</v>
      </c>
      <c r="B4" s="8" t="s">
        <v>183</v>
      </c>
      <c r="C4" s="8" t="s">
        <v>184</v>
      </c>
      <c r="D4" s="8" t="s">
        <v>181</v>
      </c>
      <c r="E4" s="8" t="s">
        <v>185</v>
      </c>
      <c r="F4" s="8">
        <v>3618.9793800000002</v>
      </c>
    </row>
    <row r="5" spans="1:6" ht="15" customHeight="1" x14ac:dyDescent="0.25">
      <c r="A5" s="8">
        <v>10303</v>
      </c>
      <c r="B5" s="8" t="s">
        <v>186</v>
      </c>
      <c r="C5" s="8" t="s">
        <v>187</v>
      </c>
      <c r="D5" s="8" t="s">
        <v>177</v>
      </c>
      <c r="E5" s="8" t="s">
        <v>188</v>
      </c>
      <c r="F5" s="8">
        <v>58180</v>
      </c>
    </row>
    <row r="6" spans="1:6" ht="15" customHeight="1" x14ac:dyDescent="0.25">
      <c r="A6" s="8">
        <v>10273</v>
      </c>
      <c r="B6" s="8" t="s">
        <v>189</v>
      </c>
      <c r="C6" s="8" t="s">
        <v>187</v>
      </c>
      <c r="D6" s="8" t="s">
        <v>177</v>
      </c>
      <c r="E6" s="8" t="s">
        <v>190</v>
      </c>
      <c r="F6" s="8">
        <v>4977.3288000000002</v>
      </c>
    </row>
    <row r="7" spans="1:6" ht="15" customHeight="1" x14ac:dyDescent="0.25">
      <c r="A7" s="8">
        <v>10102</v>
      </c>
      <c r="B7" s="8" t="s">
        <v>191</v>
      </c>
      <c r="C7" s="8" t="s">
        <v>192</v>
      </c>
      <c r="D7" s="8" t="s">
        <v>193</v>
      </c>
      <c r="E7" s="8" t="s">
        <v>194</v>
      </c>
      <c r="F7" s="8">
        <v>281431</v>
      </c>
    </row>
    <row r="8" spans="1:6" ht="15" customHeight="1" x14ac:dyDescent="0.25">
      <c r="A8" s="8">
        <v>10792</v>
      </c>
      <c r="B8" s="8" t="s">
        <v>195</v>
      </c>
      <c r="C8" s="8" t="s">
        <v>196</v>
      </c>
      <c r="D8" s="8" t="s">
        <v>197</v>
      </c>
      <c r="E8" s="8" t="s">
        <v>198</v>
      </c>
      <c r="F8" s="8">
        <v>27.769300000000001</v>
      </c>
    </row>
    <row r="9" spans="1:6" ht="15" customHeight="1" x14ac:dyDescent="0.25">
      <c r="A9" s="8">
        <v>11642</v>
      </c>
      <c r="B9" s="8" t="s">
        <v>199</v>
      </c>
      <c r="C9" s="8" t="s">
        <v>200</v>
      </c>
      <c r="D9" s="8" t="s">
        <v>201</v>
      </c>
      <c r="E9" s="8" t="s">
        <v>202</v>
      </c>
      <c r="F9" s="8">
        <v>40.665399999999998</v>
      </c>
    </row>
    <row r="10" spans="1:6" ht="15" customHeight="1" x14ac:dyDescent="0.25">
      <c r="A10" s="8">
        <v>10383</v>
      </c>
      <c r="B10" s="8" t="s">
        <v>203</v>
      </c>
      <c r="C10" s="8" t="s">
        <v>204</v>
      </c>
      <c r="D10" s="8" t="s">
        <v>205</v>
      </c>
      <c r="E10" s="8" t="s">
        <v>206</v>
      </c>
      <c r="F10" s="8">
        <v>3350</v>
      </c>
    </row>
    <row r="11" spans="1:6" ht="15" customHeight="1" x14ac:dyDescent="0.25">
      <c r="A11" s="8">
        <v>10756</v>
      </c>
      <c r="B11" s="8" t="s">
        <v>207</v>
      </c>
      <c r="C11" s="8" t="s">
        <v>208</v>
      </c>
      <c r="D11" s="8" t="s">
        <v>209</v>
      </c>
      <c r="E11" s="8" t="s">
        <v>210</v>
      </c>
      <c r="F11" s="8">
        <v>11267.2251</v>
      </c>
    </row>
    <row r="12" spans="1:6" ht="15" customHeight="1" x14ac:dyDescent="0.25">
      <c r="A12" s="8">
        <v>10912</v>
      </c>
      <c r="B12" s="8" t="s">
        <v>211</v>
      </c>
      <c r="C12" s="8" t="s">
        <v>212</v>
      </c>
      <c r="D12" s="8" t="s">
        <v>213</v>
      </c>
      <c r="E12" s="8" t="s">
        <v>214</v>
      </c>
      <c r="F12" s="8">
        <v>316.24680000000001</v>
      </c>
    </row>
    <row r="13" spans="1:6" ht="15" customHeight="1" x14ac:dyDescent="0.25">
      <c r="A13" s="8">
        <v>10652</v>
      </c>
      <c r="B13" s="8" t="s">
        <v>215</v>
      </c>
      <c r="C13" s="8" t="s">
        <v>200</v>
      </c>
      <c r="D13" s="8" t="s">
        <v>201</v>
      </c>
      <c r="E13" s="8" t="s">
        <v>216</v>
      </c>
      <c r="F13" s="8">
        <v>105.4358</v>
      </c>
    </row>
    <row r="14" spans="1:6" ht="15" customHeight="1" x14ac:dyDescent="0.25">
      <c r="A14" s="8">
        <v>10371</v>
      </c>
      <c r="B14" s="8" t="s">
        <v>217</v>
      </c>
      <c r="C14" s="8" t="s">
        <v>218</v>
      </c>
      <c r="D14" s="8" t="s">
        <v>205</v>
      </c>
      <c r="E14" s="8" t="s">
        <v>219</v>
      </c>
      <c r="F14" s="8">
        <v>73280</v>
      </c>
    </row>
    <row r="15" spans="1:6" ht="15" customHeight="1" x14ac:dyDescent="0.25">
      <c r="A15" s="8">
        <v>10770</v>
      </c>
      <c r="B15" s="8" t="s">
        <v>220</v>
      </c>
      <c r="C15" s="8" t="s">
        <v>221</v>
      </c>
      <c r="D15" s="8" t="s">
        <v>209</v>
      </c>
      <c r="E15" s="8" t="s">
        <v>222</v>
      </c>
      <c r="F15" s="8">
        <v>85950.476800000004</v>
      </c>
    </row>
    <row r="16" spans="1:6" ht="15" customHeight="1" x14ac:dyDescent="0.25">
      <c r="A16" s="8">
        <v>10301</v>
      </c>
      <c r="B16" s="8" t="s">
        <v>223</v>
      </c>
      <c r="C16" s="8" t="s">
        <v>176</v>
      </c>
      <c r="D16" s="8" t="s">
        <v>177</v>
      </c>
      <c r="E16" s="8" t="s">
        <v>224</v>
      </c>
      <c r="F16" s="8">
        <v>1846.3692000000001</v>
      </c>
    </row>
    <row r="17" spans="1:6" ht="15" customHeight="1" x14ac:dyDescent="0.25">
      <c r="A17" s="8">
        <v>10460</v>
      </c>
      <c r="B17" s="8" t="s">
        <v>225</v>
      </c>
      <c r="C17" s="8" t="s">
        <v>226</v>
      </c>
      <c r="D17" s="8" t="s">
        <v>227</v>
      </c>
      <c r="E17" s="8" t="s">
        <v>228</v>
      </c>
      <c r="F17" s="8">
        <v>421.98399999999998</v>
      </c>
    </row>
    <row r="18" spans="1:6" ht="15" customHeight="1" x14ac:dyDescent="0.25">
      <c r="A18" s="8">
        <v>11774</v>
      </c>
      <c r="B18" s="8" t="s">
        <v>229</v>
      </c>
      <c r="C18" s="8" t="s">
        <v>196</v>
      </c>
      <c r="D18" s="8" t="s">
        <v>230</v>
      </c>
      <c r="E18" s="8" t="s">
        <v>231</v>
      </c>
      <c r="F18" s="8">
        <v>30</v>
      </c>
    </row>
    <row r="19" spans="1:6" ht="15" customHeight="1" x14ac:dyDescent="0.25">
      <c r="A19" s="8">
        <v>10139</v>
      </c>
      <c r="B19" s="8" t="s">
        <v>232</v>
      </c>
      <c r="C19" s="8" t="s">
        <v>233</v>
      </c>
      <c r="D19" s="8" t="s">
        <v>181</v>
      </c>
      <c r="E19" s="8" t="s">
        <v>234</v>
      </c>
      <c r="F19" s="8">
        <v>3653.0075000000002</v>
      </c>
    </row>
    <row r="20" spans="1:6" ht="15" customHeight="1" x14ac:dyDescent="0.25">
      <c r="A20" s="8">
        <v>10640</v>
      </c>
      <c r="B20" s="8" t="s">
        <v>235</v>
      </c>
      <c r="C20" s="8" t="s">
        <v>200</v>
      </c>
      <c r="D20" s="8" t="s">
        <v>201</v>
      </c>
      <c r="E20" s="8" t="s">
        <v>216</v>
      </c>
      <c r="F20" s="8">
        <v>349.37849999999997</v>
      </c>
    </row>
    <row r="21" spans="1:6" ht="15" customHeight="1" x14ac:dyDescent="0.25">
      <c r="A21" s="8">
        <v>10131</v>
      </c>
      <c r="B21" s="8" t="s">
        <v>236</v>
      </c>
      <c r="C21" s="8" t="s">
        <v>233</v>
      </c>
      <c r="D21" s="8" t="s">
        <v>181</v>
      </c>
      <c r="E21" s="8" t="s">
        <v>237</v>
      </c>
      <c r="F21" s="8">
        <v>192.50530000000001</v>
      </c>
    </row>
    <row r="22" spans="1:6" ht="15" customHeight="1" x14ac:dyDescent="0.25">
      <c r="A22" s="8">
        <v>10771</v>
      </c>
      <c r="B22" s="8" t="s">
        <v>238</v>
      </c>
      <c r="C22" s="8" t="s">
        <v>221</v>
      </c>
      <c r="D22" s="8" t="s">
        <v>209</v>
      </c>
      <c r="E22" s="8" t="s">
        <v>210</v>
      </c>
      <c r="F22" s="8">
        <v>25100</v>
      </c>
    </row>
    <row r="23" spans="1:6" ht="15" customHeight="1" x14ac:dyDescent="0.25">
      <c r="A23" s="8">
        <v>11693</v>
      </c>
      <c r="B23" s="8" t="s">
        <v>239</v>
      </c>
      <c r="C23" s="8" t="s">
        <v>240</v>
      </c>
      <c r="D23" s="8" t="s">
        <v>230</v>
      </c>
      <c r="E23" s="8" t="s">
        <v>241</v>
      </c>
      <c r="F23" s="8">
        <v>27.232199999999999</v>
      </c>
    </row>
    <row r="24" spans="1:6" ht="15" customHeight="1" x14ac:dyDescent="0.25">
      <c r="A24" s="8">
        <v>10620</v>
      </c>
      <c r="B24" s="8" t="s">
        <v>242</v>
      </c>
      <c r="C24" s="8" t="s">
        <v>243</v>
      </c>
      <c r="D24" s="8" t="s">
        <v>244</v>
      </c>
      <c r="E24" s="8" t="s">
        <v>245</v>
      </c>
      <c r="F24" s="8">
        <v>18.600000000000001</v>
      </c>
    </row>
    <row r="25" spans="1:6" ht="15" customHeight="1" x14ac:dyDescent="0.25">
      <c r="A25" s="8">
        <v>10464</v>
      </c>
      <c r="B25" s="8" t="s">
        <v>246</v>
      </c>
      <c r="C25" s="8" t="s">
        <v>247</v>
      </c>
      <c r="D25" s="8" t="s">
        <v>248</v>
      </c>
      <c r="E25" s="8" t="s">
        <v>249</v>
      </c>
      <c r="F25" s="8">
        <v>410855.76049999997</v>
      </c>
    </row>
    <row r="26" spans="1:6" ht="15" customHeight="1" x14ac:dyDescent="0.25">
      <c r="A26" s="8">
        <v>10736</v>
      </c>
      <c r="B26" s="8" t="s">
        <v>250</v>
      </c>
      <c r="C26" s="8" t="s">
        <v>243</v>
      </c>
      <c r="D26" s="8" t="s">
        <v>251</v>
      </c>
      <c r="E26" s="8" t="s">
        <v>252</v>
      </c>
      <c r="F26" s="8">
        <v>90.694900000000004</v>
      </c>
    </row>
    <row r="27" spans="1:6" ht="15" customHeight="1" x14ac:dyDescent="0.25">
      <c r="A27" s="8">
        <v>10242</v>
      </c>
      <c r="B27" s="8" t="s">
        <v>253</v>
      </c>
      <c r="C27" s="8" t="s">
        <v>176</v>
      </c>
      <c r="D27" s="8" t="s">
        <v>177</v>
      </c>
      <c r="E27" s="8" t="s">
        <v>254</v>
      </c>
      <c r="F27" s="8">
        <v>9850</v>
      </c>
    </row>
    <row r="28" spans="1:6" ht="15" customHeight="1" x14ac:dyDescent="0.25">
      <c r="A28" s="8">
        <v>10403</v>
      </c>
      <c r="B28" s="8" t="s">
        <v>255</v>
      </c>
      <c r="C28" s="8" t="s">
        <v>256</v>
      </c>
      <c r="D28" s="8" t="s">
        <v>257</v>
      </c>
      <c r="E28" s="8" t="s">
        <v>258</v>
      </c>
      <c r="F28" s="8">
        <v>33500</v>
      </c>
    </row>
    <row r="29" spans="1:6" ht="15" customHeight="1" x14ac:dyDescent="0.25">
      <c r="A29" s="8">
        <v>10002</v>
      </c>
      <c r="B29" s="8" t="s">
        <v>259</v>
      </c>
      <c r="C29" s="8" t="s">
        <v>260</v>
      </c>
      <c r="D29" s="8" t="s">
        <v>261</v>
      </c>
      <c r="E29" s="8" t="s">
        <v>262</v>
      </c>
      <c r="F29" s="8">
        <v>30654.1423</v>
      </c>
    </row>
    <row r="30" spans="1:6" ht="15" customHeight="1" x14ac:dyDescent="0.25">
      <c r="A30" s="8">
        <v>10057</v>
      </c>
      <c r="B30" s="8" t="s">
        <v>263</v>
      </c>
      <c r="C30" s="8" t="s">
        <v>176</v>
      </c>
      <c r="D30" s="8" t="s">
        <v>197</v>
      </c>
      <c r="E30" s="8" t="s">
        <v>264</v>
      </c>
      <c r="F30" s="8">
        <v>5583.75</v>
      </c>
    </row>
    <row r="31" spans="1:6" ht="15" customHeight="1" x14ac:dyDescent="0.25">
      <c r="A31" s="8">
        <v>10592</v>
      </c>
      <c r="B31" s="8" t="s">
        <v>265</v>
      </c>
      <c r="C31" s="8" t="s">
        <v>233</v>
      </c>
      <c r="D31" s="8" t="s">
        <v>266</v>
      </c>
      <c r="E31" s="8" t="s">
        <v>267</v>
      </c>
      <c r="F31" s="8">
        <v>19775.117699999999</v>
      </c>
    </row>
    <row r="32" spans="1:6" ht="15" customHeight="1" x14ac:dyDescent="0.25">
      <c r="A32" s="8">
        <v>10046</v>
      </c>
      <c r="B32" s="8" t="s">
        <v>268</v>
      </c>
      <c r="C32" s="8" t="s">
        <v>187</v>
      </c>
      <c r="D32" s="8" t="s">
        <v>197</v>
      </c>
      <c r="E32" s="8" t="s">
        <v>269</v>
      </c>
      <c r="F32" s="8">
        <v>274.12220000000002</v>
      </c>
    </row>
    <row r="33" spans="1:6" ht="15" customHeight="1" x14ac:dyDescent="0.25">
      <c r="A33" s="8">
        <v>10127</v>
      </c>
      <c r="B33" s="8" t="s">
        <v>270</v>
      </c>
      <c r="C33" s="8" t="s">
        <v>180</v>
      </c>
      <c r="D33" s="8" t="s">
        <v>181</v>
      </c>
      <c r="E33" s="8" t="s">
        <v>234</v>
      </c>
      <c r="F33" s="8">
        <v>1278.0999999999999</v>
      </c>
    </row>
    <row r="34" spans="1:6" ht="15" customHeight="1" x14ac:dyDescent="0.25">
      <c r="A34" s="8">
        <v>10325</v>
      </c>
      <c r="B34" s="8" t="s">
        <v>271</v>
      </c>
      <c r="C34" s="8" t="s">
        <v>272</v>
      </c>
      <c r="D34" s="8" t="s">
        <v>177</v>
      </c>
      <c r="E34" s="8" t="s">
        <v>273</v>
      </c>
      <c r="F34" s="8">
        <v>22290</v>
      </c>
    </row>
    <row r="35" spans="1:6" ht="15" customHeight="1" x14ac:dyDescent="0.25">
      <c r="A35" s="8">
        <v>10352</v>
      </c>
      <c r="B35" s="8" t="s">
        <v>274</v>
      </c>
      <c r="C35" s="8" t="s">
        <v>272</v>
      </c>
      <c r="D35" s="8" t="s">
        <v>177</v>
      </c>
      <c r="E35" s="8" t="s">
        <v>275</v>
      </c>
      <c r="F35" s="8">
        <v>4560</v>
      </c>
    </row>
    <row r="36" spans="1:6" ht="15" customHeight="1" x14ac:dyDescent="0.25">
      <c r="A36" s="8">
        <v>10119</v>
      </c>
      <c r="B36" s="8" t="s">
        <v>276</v>
      </c>
      <c r="C36" s="8" t="s">
        <v>184</v>
      </c>
      <c r="D36" s="8" t="s">
        <v>181</v>
      </c>
      <c r="E36" s="8" t="s">
        <v>185</v>
      </c>
      <c r="F36" s="8">
        <v>530.70000000000005</v>
      </c>
    </row>
    <row r="37" spans="1:6" ht="15" customHeight="1" x14ac:dyDescent="0.25">
      <c r="A37" s="8">
        <v>10535</v>
      </c>
      <c r="B37" s="8" t="s">
        <v>277</v>
      </c>
      <c r="C37" s="8" t="s">
        <v>278</v>
      </c>
      <c r="D37" s="8" t="s">
        <v>279</v>
      </c>
      <c r="E37" s="8" t="s">
        <v>280</v>
      </c>
      <c r="F37" s="8">
        <v>4127.5162</v>
      </c>
    </row>
    <row r="38" spans="1:6" ht="15" customHeight="1" x14ac:dyDescent="0.25">
      <c r="A38" s="8">
        <v>10195</v>
      </c>
      <c r="B38" s="8" t="s">
        <v>281</v>
      </c>
      <c r="C38" s="8" t="s">
        <v>180</v>
      </c>
      <c r="D38" s="8" t="s">
        <v>282</v>
      </c>
      <c r="E38" s="8" t="s">
        <v>283</v>
      </c>
      <c r="F38" s="8">
        <v>1676.3888999999999</v>
      </c>
    </row>
    <row r="39" spans="1:6" ht="15" customHeight="1" x14ac:dyDescent="0.25">
      <c r="A39" s="8">
        <v>10691</v>
      </c>
      <c r="B39" s="8" t="s">
        <v>284</v>
      </c>
      <c r="C39" s="8" t="s">
        <v>200</v>
      </c>
      <c r="D39" s="8" t="s">
        <v>201</v>
      </c>
      <c r="E39" s="8" t="s">
        <v>285</v>
      </c>
      <c r="F39" s="8">
        <v>97.956699999999998</v>
      </c>
    </row>
    <row r="40" spans="1:6" ht="15" customHeight="1" x14ac:dyDescent="0.25">
      <c r="A40" s="8">
        <v>10226</v>
      </c>
      <c r="B40" s="8" t="s">
        <v>286</v>
      </c>
      <c r="C40" s="8" t="s">
        <v>233</v>
      </c>
      <c r="D40" s="8" t="s">
        <v>282</v>
      </c>
      <c r="E40" s="8" t="s">
        <v>287</v>
      </c>
      <c r="F40" s="8">
        <v>167.85319999999999</v>
      </c>
    </row>
    <row r="41" spans="1:6" ht="15" customHeight="1" x14ac:dyDescent="0.25">
      <c r="A41" s="8">
        <v>10142</v>
      </c>
      <c r="B41" s="8" t="s">
        <v>288</v>
      </c>
      <c r="C41" s="8" t="s">
        <v>184</v>
      </c>
      <c r="D41" s="8" t="s">
        <v>181</v>
      </c>
      <c r="E41" s="8" t="s">
        <v>289</v>
      </c>
      <c r="F41" s="8">
        <v>1003.0961</v>
      </c>
    </row>
    <row r="42" spans="1:6" ht="15" customHeight="1" x14ac:dyDescent="0.25">
      <c r="A42" s="8">
        <v>10710</v>
      </c>
      <c r="B42" s="8" t="s">
        <v>290</v>
      </c>
      <c r="C42" s="8" t="s">
        <v>200</v>
      </c>
      <c r="D42" s="8" t="s">
        <v>201</v>
      </c>
      <c r="E42" s="8" t="s">
        <v>216</v>
      </c>
      <c r="F42" s="8">
        <v>98.538600000000002</v>
      </c>
    </row>
    <row r="43" spans="1:6" ht="15" customHeight="1" x14ac:dyDescent="0.25">
      <c r="A43" s="8">
        <v>10667</v>
      </c>
      <c r="B43" s="8" t="s">
        <v>291</v>
      </c>
      <c r="C43" s="8" t="s">
        <v>200</v>
      </c>
      <c r="D43" s="8" t="s">
        <v>201</v>
      </c>
      <c r="E43" s="8" t="s">
        <v>216</v>
      </c>
      <c r="F43" s="8">
        <v>414.65910000000002</v>
      </c>
    </row>
    <row r="44" spans="1:6" ht="15" customHeight="1" x14ac:dyDescent="0.25">
      <c r="A44" s="8">
        <v>10153</v>
      </c>
      <c r="B44" s="8" t="s">
        <v>292</v>
      </c>
      <c r="C44" s="8" t="s">
        <v>293</v>
      </c>
      <c r="D44" s="8" t="s">
        <v>294</v>
      </c>
      <c r="E44" s="8" t="s">
        <v>295</v>
      </c>
      <c r="F44" s="8">
        <v>4583</v>
      </c>
    </row>
    <row r="45" spans="1:6" ht="15" customHeight="1" x14ac:dyDescent="0.25">
      <c r="A45" s="8">
        <v>10075</v>
      </c>
      <c r="B45" s="8" t="s">
        <v>296</v>
      </c>
      <c r="C45" s="8" t="s">
        <v>297</v>
      </c>
      <c r="D45" s="8" t="s">
        <v>197</v>
      </c>
      <c r="E45" s="8" t="s">
        <v>298</v>
      </c>
      <c r="F45" s="8">
        <v>169.63839999999999</v>
      </c>
    </row>
    <row r="46" spans="1:6" ht="15" customHeight="1" x14ac:dyDescent="0.25">
      <c r="A46" s="8">
        <v>10245</v>
      </c>
      <c r="B46" s="8" t="s">
        <v>299</v>
      </c>
      <c r="C46" s="8" t="s">
        <v>176</v>
      </c>
      <c r="D46" s="8" t="s">
        <v>177</v>
      </c>
      <c r="E46" s="8" t="s">
        <v>300</v>
      </c>
      <c r="F46" s="8">
        <v>13151.25</v>
      </c>
    </row>
    <row r="47" spans="1:6" ht="15" customHeight="1" x14ac:dyDescent="0.25">
      <c r="A47" s="8">
        <v>10626</v>
      </c>
      <c r="B47" s="8" t="s">
        <v>301</v>
      </c>
      <c r="C47" s="8" t="s">
        <v>200</v>
      </c>
      <c r="D47" s="8" t="s">
        <v>201</v>
      </c>
      <c r="E47" s="8" t="s">
        <v>302</v>
      </c>
      <c r="F47" s="8">
        <v>140.19970000000001</v>
      </c>
    </row>
    <row r="48" spans="1:6" ht="15" customHeight="1" x14ac:dyDescent="0.25">
      <c r="A48" s="8">
        <v>10719</v>
      </c>
      <c r="B48" s="8" t="s">
        <v>303</v>
      </c>
      <c r="C48" s="8" t="s">
        <v>243</v>
      </c>
      <c r="D48" s="8" t="s">
        <v>251</v>
      </c>
      <c r="E48" s="8" t="s">
        <v>304</v>
      </c>
      <c r="F48" s="8">
        <v>54.3489</v>
      </c>
    </row>
    <row r="49" spans="1:6" ht="15" customHeight="1" x14ac:dyDescent="0.25">
      <c r="A49" s="8">
        <v>10243</v>
      </c>
      <c r="B49" s="8" t="s">
        <v>305</v>
      </c>
      <c r="C49" s="8" t="s">
        <v>176</v>
      </c>
      <c r="D49" s="8" t="s">
        <v>177</v>
      </c>
      <c r="E49" s="8" t="s">
        <v>306</v>
      </c>
      <c r="F49" s="8">
        <v>3691.375</v>
      </c>
    </row>
    <row r="50" spans="1:6" ht="15" customHeight="1" x14ac:dyDescent="0.25">
      <c r="A50" s="8">
        <v>10715</v>
      </c>
      <c r="B50" s="8" t="s">
        <v>307</v>
      </c>
      <c r="C50" s="8" t="s">
        <v>272</v>
      </c>
      <c r="D50" s="8" t="s">
        <v>251</v>
      </c>
      <c r="E50" s="8" t="s">
        <v>308</v>
      </c>
      <c r="F50" s="8">
        <v>6960</v>
      </c>
    </row>
    <row r="51" spans="1:6" ht="15" customHeight="1" x14ac:dyDescent="0.25">
      <c r="A51" s="8">
        <v>10326</v>
      </c>
      <c r="B51" s="8" t="s">
        <v>309</v>
      </c>
      <c r="C51" s="8" t="s">
        <v>176</v>
      </c>
      <c r="D51" s="8" t="s">
        <v>177</v>
      </c>
      <c r="E51" s="8" t="s">
        <v>310</v>
      </c>
      <c r="F51" s="8">
        <v>7870</v>
      </c>
    </row>
    <row r="52" spans="1:6" ht="15" customHeight="1" x14ac:dyDescent="0.25">
      <c r="A52" s="8">
        <v>10611</v>
      </c>
      <c r="B52" s="8" t="s">
        <v>311</v>
      </c>
      <c r="C52" s="8" t="s">
        <v>312</v>
      </c>
      <c r="D52" s="8" t="s">
        <v>313</v>
      </c>
      <c r="E52" s="8" t="s">
        <v>314</v>
      </c>
      <c r="F52" s="8">
        <v>1496.8132000000001</v>
      </c>
    </row>
    <row r="53" spans="1:6" ht="15" customHeight="1" x14ac:dyDescent="0.25">
      <c r="A53" s="8">
        <v>10329</v>
      </c>
      <c r="B53" s="8" t="s">
        <v>315</v>
      </c>
      <c r="C53" s="8" t="s">
        <v>176</v>
      </c>
      <c r="D53" s="8" t="s">
        <v>177</v>
      </c>
      <c r="E53" s="8" t="s">
        <v>273</v>
      </c>
      <c r="F53" s="8">
        <v>15940</v>
      </c>
    </row>
    <row r="54" spans="1:6" ht="15" customHeight="1" x14ac:dyDescent="0.25">
      <c r="A54" s="8">
        <v>10712</v>
      </c>
      <c r="B54" s="8" t="s">
        <v>316</v>
      </c>
      <c r="C54" s="8" t="s">
        <v>200</v>
      </c>
      <c r="D54" s="8" t="s">
        <v>201</v>
      </c>
      <c r="E54" s="8" t="s">
        <v>216</v>
      </c>
      <c r="F54" s="8">
        <v>41.049599999999998</v>
      </c>
    </row>
    <row r="55" spans="1:6" ht="15" customHeight="1" x14ac:dyDescent="0.25">
      <c r="A55" s="8">
        <v>10655</v>
      </c>
      <c r="B55" s="8" t="s">
        <v>317</v>
      </c>
      <c r="C55" s="8" t="s">
        <v>200</v>
      </c>
      <c r="D55" s="8" t="s">
        <v>201</v>
      </c>
      <c r="E55" s="8" t="s">
        <v>285</v>
      </c>
      <c r="F55" s="8">
        <v>132.3443</v>
      </c>
    </row>
    <row r="56" spans="1:6" ht="15" customHeight="1" x14ac:dyDescent="0.25">
      <c r="A56" s="8">
        <v>10480</v>
      </c>
      <c r="B56" s="8" t="s">
        <v>318</v>
      </c>
      <c r="C56" s="8" t="s">
        <v>319</v>
      </c>
      <c r="D56" s="8" t="s">
        <v>320</v>
      </c>
      <c r="E56" s="8" t="s">
        <v>321</v>
      </c>
      <c r="F56" s="8">
        <v>50035.740400000002</v>
      </c>
    </row>
    <row r="57" spans="1:6" ht="15" customHeight="1" x14ac:dyDescent="0.25">
      <c r="A57" s="8">
        <v>10020</v>
      </c>
      <c r="B57" s="8" t="s">
        <v>322</v>
      </c>
      <c r="C57" s="8" t="s">
        <v>323</v>
      </c>
      <c r="D57" s="8" t="s">
        <v>261</v>
      </c>
      <c r="E57" s="8" t="s">
        <v>324</v>
      </c>
      <c r="F57" s="8">
        <v>95488.437699999995</v>
      </c>
    </row>
    <row r="58" spans="1:6" ht="15" customHeight="1" x14ac:dyDescent="0.25">
      <c r="A58" s="8">
        <v>11111</v>
      </c>
      <c r="B58" s="8" t="s">
        <v>325</v>
      </c>
      <c r="C58" s="8" t="s">
        <v>243</v>
      </c>
      <c r="D58" s="8" t="s">
        <v>326</v>
      </c>
      <c r="E58" s="8" t="s">
        <v>327</v>
      </c>
      <c r="F58" s="8">
        <v>14.6127</v>
      </c>
    </row>
    <row r="59" spans="1:6" ht="15" customHeight="1" x14ac:dyDescent="0.25">
      <c r="A59" s="8">
        <v>11963</v>
      </c>
      <c r="B59" s="8" t="s">
        <v>328</v>
      </c>
      <c r="C59" s="8" t="s">
        <v>196</v>
      </c>
      <c r="D59" s="8" t="s">
        <v>329</v>
      </c>
      <c r="E59" s="8" t="s">
        <v>330</v>
      </c>
      <c r="F59" s="8">
        <v>2.5</v>
      </c>
    </row>
    <row r="60" spans="1:6" ht="15" customHeight="1" x14ac:dyDescent="0.25">
      <c r="A60" s="8">
        <v>11383</v>
      </c>
      <c r="B60" s="8" t="s">
        <v>331</v>
      </c>
      <c r="C60" s="8" t="s">
        <v>332</v>
      </c>
      <c r="D60" s="8" t="s">
        <v>261</v>
      </c>
      <c r="E60" s="8" t="s">
        <v>324</v>
      </c>
      <c r="F60" s="8">
        <v>48257.214500000002</v>
      </c>
    </row>
    <row r="61" spans="1:6" ht="15" customHeight="1" x14ac:dyDescent="0.25">
      <c r="A61" s="8">
        <v>11554</v>
      </c>
      <c r="B61" s="8" t="s">
        <v>333</v>
      </c>
      <c r="C61" s="8" t="s">
        <v>200</v>
      </c>
      <c r="D61" s="8" t="s">
        <v>201</v>
      </c>
      <c r="E61" s="8" t="s">
        <v>285</v>
      </c>
      <c r="F61" s="8">
        <v>10.0837</v>
      </c>
    </row>
    <row r="62" spans="1:6" ht="15" customHeight="1" x14ac:dyDescent="0.25">
      <c r="A62" s="8">
        <v>10680</v>
      </c>
      <c r="B62" s="8" t="s">
        <v>334</v>
      </c>
      <c r="C62" s="8" t="s">
        <v>200</v>
      </c>
      <c r="D62" s="8" t="s">
        <v>201</v>
      </c>
      <c r="E62" s="8" t="s">
        <v>285</v>
      </c>
      <c r="F62" s="8">
        <v>375.8424</v>
      </c>
    </row>
    <row r="63" spans="1:6" ht="15" customHeight="1" x14ac:dyDescent="0.25">
      <c r="A63" s="8">
        <v>10237</v>
      </c>
      <c r="B63" s="8" t="s">
        <v>335</v>
      </c>
      <c r="C63" s="8" t="s">
        <v>336</v>
      </c>
      <c r="D63" s="8" t="s">
        <v>337</v>
      </c>
      <c r="E63" s="8" t="s">
        <v>338</v>
      </c>
      <c r="F63" s="8">
        <v>258626988</v>
      </c>
    </row>
    <row r="64" spans="1:6" ht="15" customHeight="1" x14ac:dyDescent="0.25">
      <c r="A64" s="8">
        <v>10095</v>
      </c>
      <c r="B64" s="8" t="s">
        <v>339</v>
      </c>
      <c r="C64" s="8" t="s">
        <v>221</v>
      </c>
      <c r="D64" s="8" t="s">
        <v>340</v>
      </c>
      <c r="E64" s="8" t="s">
        <v>341</v>
      </c>
      <c r="F64" s="8">
        <v>207.1</v>
      </c>
    </row>
    <row r="65" spans="1:6" ht="15" customHeight="1" x14ac:dyDescent="0.25">
      <c r="A65" s="8">
        <v>11776</v>
      </c>
      <c r="B65" s="8" t="s">
        <v>342</v>
      </c>
      <c r="C65" s="8" t="s">
        <v>212</v>
      </c>
      <c r="D65" s="8" t="s">
        <v>257</v>
      </c>
      <c r="E65" s="8" t="s">
        <v>258</v>
      </c>
      <c r="F65" s="8">
        <v>4.9557000000000002</v>
      </c>
    </row>
    <row r="66" spans="1:6" ht="15" customHeight="1" x14ac:dyDescent="0.25">
      <c r="A66" s="8">
        <v>10434</v>
      </c>
      <c r="B66" s="8" t="s">
        <v>343</v>
      </c>
      <c r="C66" s="8" t="s">
        <v>344</v>
      </c>
      <c r="D66" s="8" t="s">
        <v>213</v>
      </c>
      <c r="E66" s="8" t="s">
        <v>345</v>
      </c>
      <c r="F66" s="8">
        <v>558.25080000000003</v>
      </c>
    </row>
    <row r="67" spans="1:6" ht="15" customHeight="1" x14ac:dyDescent="0.25">
      <c r="A67" s="8">
        <v>10424</v>
      </c>
      <c r="B67" s="8" t="s">
        <v>346</v>
      </c>
      <c r="C67" s="8" t="s">
        <v>212</v>
      </c>
      <c r="D67" s="8" t="s">
        <v>213</v>
      </c>
      <c r="E67" s="8" t="s">
        <v>214</v>
      </c>
      <c r="F67" s="8">
        <v>70.515100000000004</v>
      </c>
    </row>
    <row r="68" spans="1:6" ht="15" customHeight="1" x14ac:dyDescent="0.25">
      <c r="A68" s="8">
        <v>10463</v>
      </c>
      <c r="B68" s="8" t="s">
        <v>347</v>
      </c>
      <c r="C68" s="8" t="s">
        <v>348</v>
      </c>
      <c r="D68" s="8" t="s">
        <v>248</v>
      </c>
      <c r="E68" s="8" t="s">
        <v>349</v>
      </c>
      <c r="F68" s="8">
        <v>2670.5488</v>
      </c>
    </row>
    <row r="69" spans="1:6" ht="15" customHeight="1" x14ac:dyDescent="0.25">
      <c r="A69" s="8">
        <v>11534</v>
      </c>
      <c r="B69" s="8" t="s">
        <v>350</v>
      </c>
      <c r="C69" s="8" t="s">
        <v>233</v>
      </c>
      <c r="D69" s="8" t="s">
        <v>282</v>
      </c>
      <c r="E69" s="8" t="s">
        <v>351</v>
      </c>
      <c r="F69" s="8">
        <v>2229.3375999999998</v>
      </c>
    </row>
    <row r="70" spans="1:6" ht="15" customHeight="1" x14ac:dyDescent="0.25">
      <c r="A70" s="8">
        <v>11568</v>
      </c>
      <c r="B70" s="8" t="s">
        <v>352</v>
      </c>
      <c r="C70" s="8" t="s">
        <v>200</v>
      </c>
      <c r="D70" s="8" t="s">
        <v>201</v>
      </c>
      <c r="E70" s="8" t="s">
        <v>285</v>
      </c>
      <c r="F70" s="8">
        <v>27.082599999999999</v>
      </c>
    </row>
    <row r="71" spans="1:6" ht="15" customHeight="1" x14ac:dyDescent="0.25">
      <c r="A71" s="8">
        <v>10319</v>
      </c>
      <c r="B71" s="8" t="s">
        <v>353</v>
      </c>
      <c r="C71" s="8" t="s">
        <v>176</v>
      </c>
      <c r="D71" s="8" t="s">
        <v>177</v>
      </c>
      <c r="E71" s="8" t="s">
        <v>188</v>
      </c>
      <c r="F71" s="8">
        <v>24590</v>
      </c>
    </row>
    <row r="72" spans="1:6" ht="15" customHeight="1" x14ac:dyDescent="0.25">
      <c r="A72" s="8">
        <v>10532</v>
      </c>
      <c r="B72" s="8" t="s">
        <v>354</v>
      </c>
      <c r="C72" s="8" t="s">
        <v>355</v>
      </c>
      <c r="D72" s="8" t="s">
        <v>279</v>
      </c>
      <c r="E72" s="8" t="s">
        <v>356</v>
      </c>
      <c r="F72" s="8">
        <v>4782.5</v>
      </c>
    </row>
    <row r="73" spans="1:6" ht="15" customHeight="1" x14ac:dyDescent="0.25">
      <c r="A73" s="8">
        <v>10798</v>
      </c>
      <c r="B73" s="8" t="s">
        <v>357</v>
      </c>
      <c r="C73" s="8" t="s">
        <v>243</v>
      </c>
      <c r="D73" s="8" t="s">
        <v>197</v>
      </c>
      <c r="E73" s="8" t="s">
        <v>358</v>
      </c>
      <c r="F73" s="8">
        <v>75.110399999999998</v>
      </c>
    </row>
    <row r="74" spans="1:6" ht="15" customHeight="1" x14ac:dyDescent="0.25">
      <c r="A74" s="8">
        <v>10558</v>
      </c>
      <c r="B74" s="8" t="s">
        <v>359</v>
      </c>
      <c r="C74" s="8" t="s">
        <v>355</v>
      </c>
      <c r="D74" s="8" t="s">
        <v>266</v>
      </c>
      <c r="E74" s="8" t="s">
        <v>360</v>
      </c>
      <c r="F74" s="8">
        <v>910.08690000000001</v>
      </c>
    </row>
    <row r="75" spans="1:6" ht="15" customHeight="1" x14ac:dyDescent="0.25">
      <c r="A75" s="8">
        <v>10685</v>
      </c>
      <c r="B75" s="8" t="s">
        <v>361</v>
      </c>
      <c r="C75" s="8" t="s">
        <v>200</v>
      </c>
      <c r="D75" s="8" t="s">
        <v>201</v>
      </c>
      <c r="E75" s="8" t="s">
        <v>216</v>
      </c>
      <c r="F75" s="8">
        <v>50.257300000000001</v>
      </c>
    </row>
    <row r="76" spans="1:6" ht="15" customHeight="1" x14ac:dyDescent="0.25">
      <c r="A76" s="8">
        <v>10304</v>
      </c>
      <c r="B76" s="8" t="s">
        <v>362</v>
      </c>
      <c r="C76" s="8" t="s">
        <v>176</v>
      </c>
      <c r="D76" s="8" t="s">
        <v>177</v>
      </c>
      <c r="E76" s="8" t="s">
        <v>363</v>
      </c>
      <c r="F76" s="8">
        <v>231.8005</v>
      </c>
    </row>
    <row r="77" spans="1:6" ht="15" customHeight="1" x14ac:dyDescent="0.25">
      <c r="A77" s="8">
        <v>10234</v>
      </c>
      <c r="B77" s="8" t="s">
        <v>364</v>
      </c>
      <c r="C77" s="8" t="s">
        <v>365</v>
      </c>
      <c r="D77" s="8" t="s">
        <v>337</v>
      </c>
      <c r="E77" s="8" t="s">
        <v>366</v>
      </c>
      <c r="F77" s="8">
        <v>92.937299999999993</v>
      </c>
    </row>
    <row r="78" spans="1:6" ht="15" customHeight="1" x14ac:dyDescent="0.25">
      <c r="A78" s="8">
        <v>10716</v>
      </c>
      <c r="B78" s="8" t="s">
        <v>367</v>
      </c>
      <c r="C78" s="8" t="s">
        <v>368</v>
      </c>
      <c r="D78" s="8" t="s">
        <v>251</v>
      </c>
      <c r="E78" s="8" t="s">
        <v>369</v>
      </c>
      <c r="F78" s="8">
        <v>2938</v>
      </c>
    </row>
    <row r="79" spans="1:6" ht="15" customHeight="1" x14ac:dyDescent="0.25">
      <c r="A79" s="8">
        <v>10419</v>
      </c>
      <c r="B79" s="8" t="s">
        <v>370</v>
      </c>
      <c r="C79" s="8" t="s">
        <v>371</v>
      </c>
      <c r="D79" s="8" t="s">
        <v>257</v>
      </c>
      <c r="E79" s="8" t="s">
        <v>372</v>
      </c>
      <c r="F79" s="8">
        <v>5877.5</v>
      </c>
    </row>
    <row r="80" spans="1:6" ht="15" customHeight="1" x14ac:dyDescent="0.25">
      <c r="A80" s="8">
        <v>10093</v>
      </c>
      <c r="B80" s="8" t="s">
        <v>373</v>
      </c>
      <c r="C80" s="8" t="s">
        <v>221</v>
      </c>
      <c r="D80" s="8" t="s">
        <v>340</v>
      </c>
      <c r="E80" s="8" t="s">
        <v>341</v>
      </c>
      <c r="F80" s="8">
        <v>16.649999999999999</v>
      </c>
    </row>
    <row r="81" spans="1:6" ht="15" customHeight="1" x14ac:dyDescent="0.25">
      <c r="A81" s="8">
        <v>10030</v>
      </c>
      <c r="B81" s="8" t="s">
        <v>374</v>
      </c>
      <c r="C81" s="8" t="s">
        <v>187</v>
      </c>
      <c r="D81" s="8" t="s">
        <v>197</v>
      </c>
      <c r="E81" s="8" t="s">
        <v>269</v>
      </c>
      <c r="F81" s="8">
        <v>3035</v>
      </c>
    </row>
    <row r="82" spans="1:6" ht="15" customHeight="1" x14ac:dyDescent="0.25">
      <c r="A82" s="8">
        <v>11631</v>
      </c>
      <c r="B82" s="8" t="s">
        <v>375</v>
      </c>
      <c r="C82" s="8" t="s">
        <v>355</v>
      </c>
      <c r="D82" s="8" t="s">
        <v>266</v>
      </c>
      <c r="E82" s="8" t="s">
        <v>360</v>
      </c>
      <c r="F82" s="8">
        <v>28.313199999999998</v>
      </c>
    </row>
    <row r="83" spans="1:6" ht="15" customHeight="1" x14ac:dyDescent="0.25">
      <c r="A83" s="8">
        <v>10686</v>
      </c>
      <c r="B83" s="8" t="s">
        <v>376</v>
      </c>
      <c r="C83" s="8" t="s">
        <v>200</v>
      </c>
      <c r="D83" s="8" t="s">
        <v>201</v>
      </c>
      <c r="E83" s="8" t="s">
        <v>377</v>
      </c>
      <c r="F83" s="8">
        <v>288.3</v>
      </c>
    </row>
    <row r="84" spans="1:6" ht="15" customHeight="1" x14ac:dyDescent="0.25">
      <c r="A84" s="8">
        <v>10508</v>
      </c>
      <c r="B84" s="8" t="s">
        <v>378</v>
      </c>
      <c r="C84" s="8" t="s">
        <v>355</v>
      </c>
      <c r="D84" s="8" t="s">
        <v>279</v>
      </c>
      <c r="E84" s="8" t="s">
        <v>379</v>
      </c>
      <c r="F84" s="8">
        <v>6540.6122999999998</v>
      </c>
    </row>
    <row r="85" spans="1:6" ht="15" customHeight="1" x14ac:dyDescent="0.25">
      <c r="A85" s="8">
        <v>10035</v>
      </c>
      <c r="B85" s="8" t="s">
        <v>380</v>
      </c>
      <c r="C85" s="8" t="s">
        <v>176</v>
      </c>
      <c r="D85" s="8" t="s">
        <v>197</v>
      </c>
      <c r="E85" s="8" t="s">
        <v>381</v>
      </c>
      <c r="F85" s="8">
        <v>17.0062</v>
      </c>
    </row>
    <row r="86" spans="1:6" ht="15" customHeight="1" x14ac:dyDescent="0.25">
      <c r="A86" s="8">
        <v>10188</v>
      </c>
      <c r="B86" s="8" t="s">
        <v>382</v>
      </c>
      <c r="C86" s="8" t="s">
        <v>233</v>
      </c>
      <c r="D86" s="8" t="s">
        <v>282</v>
      </c>
      <c r="E86" s="8" t="s">
        <v>351</v>
      </c>
      <c r="F86" s="8">
        <v>126.4948</v>
      </c>
    </row>
    <row r="87" spans="1:6" ht="15" customHeight="1" x14ac:dyDescent="0.25">
      <c r="A87" s="8">
        <v>10360</v>
      </c>
      <c r="B87" s="8" t="s">
        <v>383</v>
      </c>
      <c r="C87" s="8" t="s">
        <v>176</v>
      </c>
      <c r="D87" s="8" t="s">
        <v>177</v>
      </c>
      <c r="E87" s="8" t="s">
        <v>188</v>
      </c>
      <c r="F87" s="8">
        <v>5030</v>
      </c>
    </row>
    <row r="88" spans="1:6" ht="15" customHeight="1" x14ac:dyDescent="0.25">
      <c r="A88" s="8">
        <v>10849</v>
      </c>
      <c r="B88" s="8" t="s">
        <v>384</v>
      </c>
      <c r="C88" s="8" t="s">
        <v>385</v>
      </c>
      <c r="D88" s="8" t="s">
        <v>294</v>
      </c>
      <c r="E88" s="8" t="s">
        <v>386</v>
      </c>
      <c r="F88" s="8">
        <v>9.8595000000000006</v>
      </c>
    </row>
    <row r="89" spans="1:6" ht="15" customHeight="1" x14ac:dyDescent="0.25">
      <c r="A89" s="8">
        <v>10577</v>
      </c>
      <c r="B89" s="8" t="s">
        <v>387</v>
      </c>
      <c r="C89" s="8" t="s">
        <v>388</v>
      </c>
      <c r="D89" s="8" t="s">
        <v>266</v>
      </c>
      <c r="E89" s="8" t="s">
        <v>267</v>
      </c>
      <c r="F89" s="8">
        <v>4336</v>
      </c>
    </row>
    <row r="90" spans="1:6" ht="15" customHeight="1" x14ac:dyDescent="0.25">
      <c r="A90" s="8">
        <v>10624</v>
      </c>
      <c r="B90" s="8" t="s">
        <v>389</v>
      </c>
      <c r="C90" s="8" t="s">
        <v>200</v>
      </c>
      <c r="D90" s="8" t="s">
        <v>201</v>
      </c>
      <c r="E90" s="8" t="s">
        <v>285</v>
      </c>
      <c r="F90" s="8">
        <v>493.95</v>
      </c>
    </row>
    <row r="91" spans="1:6" ht="15" customHeight="1" x14ac:dyDescent="0.25">
      <c r="A91" s="8">
        <v>10555</v>
      </c>
      <c r="B91" s="8" t="s">
        <v>390</v>
      </c>
      <c r="C91" s="8" t="s">
        <v>355</v>
      </c>
      <c r="D91" s="8" t="s">
        <v>266</v>
      </c>
      <c r="E91" s="8" t="s">
        <v>360</v>
      </c>
      <c r="F91" s="8">
        <v>1981.711</v>
      </c>
    </row>
    <row r="92" spans="1:6" ht="15" customHeight="1" x14ac:dyDescent="0.25">
      <c r="A92" s="8">
        <v>10283</v>
      </c>
      <c r="B92" s="8" t="s">
        <v>391</v>
      </c>
      <c r="C92" s="8" t="s">
        <v>243</v>
      </c>
      <c r="D92" s="8" t="s">
        <v>177</v>
      </c>
      <c r="E92" s="8" t="s">
        <v>392</v>
      </c>
      <c r="F92" s="8">
        <v>12536.78</v>
      </c>
    </row>
    <row r="93" spans="1:6" ht="15" customHeight="1" x14ac:dyDescent="0.25">
      <c r="A93" s="8">
        <v>10323</v>
      </c>
      <c r="B93" s="8" t="s">
        <v>393</v>
      </c>
      <c r="C93" s="8" t="s">
        <v>176</v>
      </c>
      <c r="D93" s="8" t="s">
        <v>177</v>
      </c>
      <c r="E93" s="8" t="s">
        <v>300</v>
      </c>
      <c r="F93" s="8">
        <v>5463.75</v>
      </c>
    </row>
    <row r="94" spans="1:6" ht="15" customHeight="1" x14ac:dyDescent="0.25">
      <c r="A94" s="8">
        <v>10297</v>
      </c>
      <c r="B94" s="8" t="s">
        <v>394</v>
      </c>
      <c r="C94" s="8" t="s">
        <v>395</v>
      </c>
      <c r="D94" s="8" t="s">
        <v>177</v>
      </c>
      <c r="E94" s="8" t="s">
        <v>396</v>
      </c>
      <c r="F94" s="8">
        <v>19527.825000000001</v>
      </c>
    </row>
    <row r="95" spans="1:6" ht="15" customHeight="1" x14ac:dyDescent="0.25">
      <c r="A95" s="8">
        <v>11104</v>
      </c>
      <c r="B95" s="8" t="s">
        <v>397</v>
      </c>
      <c r="C95" s="8" t="s">
        <v>312</v>
      </c>
      <c r="D95" s="8" t="s">
        <v>326</v>
      </c>
      <c r="E95" s="8" t="s">
        <v>398</v>
      </c>
      <c r="F95" s="8">
        <v>158.69569999999999</v>
      </c>
    </row>
    <row r="96" spans="1:6" ht="15" customHeight="1" x14ac:dyDescent="0.25">
      <c r="A96" s="8">
        <v>11090</v>
      </c>
      <c r="B96" s="8" t="s">
        <v>399</v>
      </c>
      <c r="C96" s="8" t="s">
        <v>355</v>
      </c>
      <c r="D96" s="8" t="s">
        <v>266</v>
      </c>
      <c r="E96" s="8" t="s">
        <v>400</v>
      </c>
      <c r="F96" s="8">
        <v>661.14750000000004</v>
      </c>
    </row>
    <row r="97" spans="1:6" ht="15" customHeight="1" x14ac:dyDescent="0.25">
      <c r="A97" s="8">
        <v>10454</v>
      </c>
      <c r="B97" s="8" t="s">
        <v>401</v>
      </c>
      <c r="C97" s="8" t="s">
        <v>226</v>
      </c>
      <c r="D97" s="8" t="s">
        <v>227</v>
      </c>
      <c r="E97" s="8" t="s">
        <v>228</v>
      </c>
      <c r="F97" s="8">
        <v>447.64229999999998</v>
      </c>
    </row>
    <row r="98" spans="1:6" ht="15" customHeight="1" x14ac:dyDescent="0.25">
      <c r="A98" s="8">
        <v>10366</v>
      </c>
      <c r="B98" s="8" t="s">
        <v>402</v>
      </c>
      <c r="C98" s="8" t="s">
        <v>196</v>
      </c>
      <c r="D98" s="8" t="s">
        <v>230</v>
      </c>
      <c r="E98" s="8" t="s">
        <v>403</v>
      </c>
      <c r="F98" s="8">
        <v>11911.890299999999</v>
      </c>
    </row>
    <row r="99" spans="1:6" ht="15" customHeight="1" x14ac:dyDescent="0.25">
      <c r="A99" s="8">
        <v>10459</v>
      </c>
      <c r="B99" s="8" t="s">
        <v>404</v>
      </c>
      <c r="C99" s="8" t="s">
        <v>226</v>
      </c>
      <c r="D99" s="8" t="s">
        <v>227</v>
      </c>
      <c r="E99" s="8" t="s">
        <v>405</v>
      </c>
      <c r="F99" s="8">
        <v>810.44529999999997</v>
      </c>
    </row>
    <row r="100" spans="1:6" ht="15" customHeight="1" x14ac:dyDescent="0.25">
      <c r="A100" s="8">
        <v>10479</v>
      </c>
      <c r="B100" s="8" t="s">
        <v>406</v>
      </c>
      <c r="C100" s="8" t="s">
        <v>319</v>
      </c>
      <c r="D100" s="8" t="s">
        <v>320</v>
      </c>
      <c r="E100" s="8" t="s">
        <v>407</v>
      </c>
      <c r="F100" s="8">
        <v>2885</v>
      </c>
    </row>
    <row r="101" spans="1:6" ht="15" customHeight="1" x14ac:dyDescent="0.25">
      <c r="A101" s="8">
        <v>10605</v>
      </c>
      <c r="B101" s="8" t="s">
        <v>408</v>
      </c>
      <c r="C101" s="8" t="s">
        <v>180</v>
      </c>
      <c r="D101" s="8" t="s">
        <v>266</v>
      </c>
      <c r="E101" s="8" t="s">
        <v>400</v>
      </c>
      <c r="F101" s="8">
        <v>1588.0843</v>
      </c>
    </row>
    <row r="102" spans="1:6" ht="15" customHeight="1" x14ac:dyDescent="0.25">
      <c r="A102" s="8">
        <v>10240</v>
      </c>
      <c r="B102" s="8" t="s">
        <v>409</v>
      </c>
      <c r="C102" s="8" t="s">
        <v>410</v>
      </c>
      <c r="D102" s="8" t="s">
        <v>337</v>
      </c>
      <c r="E102" s="8" t="s">
        <v>411</v>
      </c>
      <c r="F102" s="8">
        <v>25000</v>
      </c>
    </row>
    <row r="103" spans="1:6" ht="15" customHeight="1" x14ac:dyDescent="0.25">
      <c r="A103" s="8">
        <v>10232</v>
      </c>
      <c r="B103" s="8" t="s">
        <v>412</v>
      </c>
      <c r="C103" s="8" t="s">
        <v>413</v>
      </c>
      <c r="D103" s="8" t="s">
        <v>337</v>
      </c>
      <c r="E103" s="8" t="s">
        <v>338</v>
      </c>
      <c r="F103" s="8">
        <v>128.197</v>
      </c>
    </row>
    <row r="104" spans="1:6" ht="15" customHeight="1" x14ac:dyDescent="0.25">
      <c r="A104" s="8">
        <v>10483</v>
      </c>
      <c r="B104" s="8" t="s">
        <v>414</v>
      </c>
      <c r="C104" s="8" t="s">
        <v>415</v>
      </c>
      <c r="D104" s="8" t="s">
        <v>320</v>
      </c>
      <c r="E104" s="8" t="s">
        <v>416</v>
      </c>
      <c r="F104" s="8">
        <v>385.11399999999998</v>
      </c>
    </row>
    <row r="105" spans="1:6" ht="15" customHeight="1" x14ac:dyDescent="0.25">
      <c r="A105" s="8">
        <v>10251</v>
      </c>
      <c r="B105" s="8" t="s">
        <v>417</v>
      </c>
      <c r="C105" s="8" t="s">
        <v>395</v>
      </c>
      <c r="D105" s="8" t="s">
        <v>177</v>
      </c>
      <c r="E105" s="8" t="s">
        <v>273</v>
      </c>
      <c r="F105" s="8">
        <v>30328.5995</v>
      </c>
    </row>
    <row r="106" spans="1:6" ht="15" customHeight="1" x14ac:dyDescent="0.25">
      <c r="A106" s="8">
        <v>10255</v>
      </c>
      <c r="B106" s="8" t="s">
        <v>418</v>
      </c>
      <c r="C106" s="8" t="s">
        <v>272</v>
      </c>
      <c r="D106" s="8" t="s">
        <v>177</v>
      </c>
      <c r="E106" s="8" t="s">
        <v>275</v>
      </c>
      <c r="F106" s="8">
        <v>2469</v>
      </c>
    </row>
    <row r="107" spans="1:6" ht="15" customHeight="1" x14ac:dyDescent="0.25">
      <c r="A107" s="8">
        <v>10370</v>
      </c>
      <c r="B107" s="8" t="s">
        <v>419</v>
      </c>
      <c r="C107" s="8" t="s">
        <v>221</v>
      </c>
      <c r="D107" s="8" t="s">
        <v>205</v>
      </c>
      <c r="E107" s="8" t="s">
        <v>219</v>
      </c>
      <c r="F107" s="8">
        <v>4560</v>
      </c>
    </row>
    <row r="108" spans="1:6" ht="15" customHeight="1" x14ac:dyDescent="0.25">
      <c r="A108" s="8">
        <v>11027</v>
      </c>
      <c r="B108" s="8" t="s">
        <v>420</v>
      </c>
      <c r="C108" s="8" t="s">
        <v>278</v>
      </c>
      <c r="D108" s="8" t="s">
        <v>266</v>
      </c>
      <c r="E108" s="8" t="s">
        <v>421</v>
      </c>
      <c r="F108" s="8">
        <v>57.3598</v>
      </c>
    </row>
    <row r="109" spans="1:6" ht="15" customHeight="1" x14ac:dyDescent="0.25">
      <c r="A109" s="8">
        <v>10357</v>
      </c>
      <c r="B109" s="8" t="s">
        <v>422</v>
      </c>
      <c r="C109" s="8" t="s">
        <v>176</v>
      </c>
      <c r="D109" s="8" t="s">
        <v>177</v>
      </c>
      <c r="E109" s="8" t="s">
        <v>423</v>
      </c>
      <c r="F109" s="8">
        <v>19744.585999999999</v>
      </c>
    </row>
    <row r="110" spans="1:6" ht="15" customHeight="1" x14ac:dyDescent="0.25">
      <c r="A110" s="8">
        <v>10351</v>
      </c>
      <c r="B110" s="8" t="s">
        <v>424</v>
      </c>
      <c r="C110" s="8" t="s">
        <v>176</v>
      </c>
      <c r="D110" s="8" t="s">
        <v>177</v>
      </c>
      <c r="E110" s="8" t="s">
        <v>425</v>
      </c>
      <c r="F110" s="8">
        <v>6832.6075000000001</v>
      </c>
    </row>
    <row r="111" spans="1:6" ht="15" customHeight="1" x14ac:dyDescent="0.25">
      <c r="A111" s="8">
        <v>10554</v>
      </c>
      <c r="B111" s="8" t="s">
        <v>426</v>
      </c>
      <c r="C111" s="8" t="s">
        <v>243</v>
      </c>
      <c r="D111" s="8" t="s">
        <v>266</v>
      </c>
      <c r="E111" s="8" t="s">
        <v>360</v>
      </c>
      <c r="F111" s="8">
        <v>9731.7764000000006</v>
      </c>
    </row>
    <row r="112" spans="1:6" ht="15" customHeight="1" x14ac:dyDescent="0.25">
      <c r="A112" s="8">
        <v>10184</v>
      </c>
      <c r="B112" s="8" t="s">
        <v>427</v>
      </c>
      <c r="C112" s="8" t="s">
        <v>180</v>
      </c>
      <c r="D112" s="8" t="s">
        <v>282</v>
      </c>
      <c r="E112" s="8" t="s">
        <v>428</v>
      </c>
      <c r="F112" s="8">
        <v>4282.7849999999999</v>
      </c>
    </row>
    <row r="113" spans="1:6" ht="15" customHeight="1" x14ac:dyDescent="0.25">
      <c r="A113" s="8">
        <v>10754</v>
      </c>
      <c r="B113" s="8" t="s">
        <v>429</v>
      </c>
      <c r="C113" s="8" t="s">
        <v>221</v>
      </c>
      <c r="D113" s="8" t="s">
        <v>209</v>
      </c>
      <c r="E113" s="8" t="s">
        <v>222</v>
      </c>
      <c r="F113" s="8">
        <v>17000</v>
      </c>
    </row>
    <row r="114" spans="1:6" ht="15" customHeight="1" x14ac:dyDescent="0.25">
      <c r="A114" s="8">
        <v>10428</v>
      </c>
      <c r="B114" s="8" t="s">
        <v>430</v>
      </c>
      <c r="C114" s="8" t="s">
        <v>431</v>
      </c>
      <c r="D114" s="8" t="s">
        <v>213</v>
      </c>
      <c r="E114" s="8" t="s">
        <v>214</v>
      </c>
      <c r="F114" s="8">
        <v>895.37030000000004</v>
      </c>
    </row>
    <row r="115" spans="1:6" ht="15" customHeight="1" x14ac:dyDescent="0.25">
      <c r="A115" s="8">
        <v>10268</v>
      </c>
      <c r="B115" s="8" t="s">
        <v>432</v>
      </c>
      <c r="C115" s="8" t="s">
        <v>187</v>
      </c>
      <c r="D115" s="8" t="s">
        <v>177</v>
      </c>
      <c r="E115" s="8" t="s">
        <v>392</v>
      </c>
      <c r="F115" s="8">
        <v>912.05240000000003</v>
      </c>
    </row>
    <row r="116" spans="1:6" ht="15" customHeight="1" x14ac:dyDescent="0.25">
      <c r="A116" s="8">
        <v>10635</v>
      </c>
      <c r="B116" s="8" t="s">
        <v>433</v>
      </c>
      <c r="C116" s="8" t="s">
        <v>200</v>
      </c>
      <c r="D116" s="8" t="s">
        <v>201</v>
      </c>
      <c r="E116" s="8" t="s">
        <v>216</v>
      </c>
      <c r="F116" s="8">
        <v>260.84219999999999</v>
      </c>
    </row>
    <row r="117" spans="1:6" ht="15" customHeight="1" x14ac:dyDescent="0.25">
      <c r="A117" s="8">
        <v>10181</v>
      </c>
      <c r="B117" s="8" t="s">
        <v>434</v>
      </c>
      <c r="C117" s="8" t="s">
        <v>435</v>
      </c>
      <c r="D117" s="8" t="s">
        <v>282</v>
      </c>
      <c r="E117" s="8" t="s">
        <v>436</v>
      </c>
      <c r="F117" s="8">
        <v>650.52300000000002</v>
      </c>
    </row>
    <row r="118" spans="1:6" ht="15" customHeight="1" x14ac:dyDescent="0.25">
      <c r="A118" s="8">
        <v>10145</v>
      </c>
      <c r="B118" s="8" t="s">
        <v>437</v>
      </c>
      <c r="C118" s="8" t="s">
        <v>212</v>
      </c>
      <c r="D118" s="8" t="s">
        <v>181</v>
      </c>
      <c r="E118" s="8" t="s">
        <v>182</v>
      </c>
      <c r="F118" s="8">
        <v>76.685400000000001</v>
      </c>
    </row>
    <row r="119" spans="1:6" ht="15" customHeight="1" x14ac:dyDescent="0.25">
      <c r="A119" s="8">
        <v>11851</v>
      </c>
      <c r="B119" s="8" t="s">
        <v>438</v>
      </c>
      <c r="C119" s="8" t="s">
        <v>196</v>
      </c>
      <c r="D119" s="8" t="s">
        <v>329</v>
      </c>
      <c r="E119" s="8" t="s">
        <v>439</v>
      </c>
      <c r="F119" s="8">
        <v>2.7574999999999998</v>
      </c>
    </row>
    <row r="120" spans="1:6" ht="15" customHeight="1" x14ac:dyDescent="0.25">
      <c r="A120" s="8">
        <v>10374</v>
      </c>
      <c r="B120" s="8" t="s">
        <v>440</v>
      </c>
      <c r="C120" s="8" t="s">
        <v>221</v>
      </c>
      <c r="D120" s="8" t="s">
        <v>205</v>
      </c>
      <c r="E120" s="8" t="s">
        <v>219</v>
      </c>
      <c r="F120" s="8">
        <v>40680</v>
      </c>
    </row>
    <row r="121" spans="1:6" ht="15" customHeight="1" x14ac:dyDescent="0.25">
      <c r="A121" s="8">
        <v>10585</v>
      </c>
      <c r="B121" s="8" t="s">
        <v>441</v>
      </c>
      <c r="C121" s="8" t="s">
        <v>442</v>
      </c>
      <c r="D121" s="8" t="s">
        <v>266</v>
      </c>
      <c r="E121" s="8" t="s">
        <v>443</v>
      </c>
      <c r="F121" s="8">
        <v>42625.458100000003</v>
      </c>
    </row>
    <row r="122" spans="1:6" ht="15" customHeight="1" x14ac:dyDescent="0.25">
      <c r="A122" s="8">
        <v>10316</v>
      </c>
      <c r="B122" s="8" t="s">
        <v>444</v>
      </c>
      <c r="C122" s="8" t="s">
        <v>176</v>
      </c>
      <c r="D122" s="8" t="s">
        <v>177</v>
      </c>
      <c r="E122" s="8" t="s">
        <v>300</v>
      </c>
      <c r="F122" s="8">
        <v>3512</v>
      </c>
    </row>
    <row r="123" spans="1:6" ht="15" customHeight="1" x14ac:dyDescent="0.25">
      <c r="A123" s="8">
        <v>10337</v>
      </c>
      <c r="B123" s="8" t="s">
        <v>445</v>
      </c>
      <c r="C123" s="8" t="s">
        <v>176</v>
      </c>
      <c r="D123" s="8" t="s">
        <v>177</v>
      </c>
      <c r="E123" s="8" t="s">
        <v>446</v>
      </c>
      <c r="F123" s="8">
        <v>16700</v>
      </c>
    </row>
    <row r="124" spans="1:6" ht="15" customHeight="1" x14ac:dyDescent="0.25">
      <c r="A124" s="8">
        <v>10205</v>
      </c>
      <c r="B124" s="8" t="s">
        <v>447</v>
      </c>
      <c r="C124" s="8" t="s">
        <v>448</v>
      </c>
      <c r="D124" s="8" t="s">
        <v>251</v>
      </c>
      <c r="E124" s="8" t="s">
        <v>449</v>
      </c>
      <c r="F124" s="8">
        <v>724.68880000000001</v>
      </c>
    </row>
    <row r="125" spans="1:6" ht="15" customHeight="1" x14ac:dyDescent="0.25">
      <c r="A125" s="8">
        <v>10708</v>
      </c>
      <c r="B125" s="8" t="s">
        <v>450</v>
      </c>
      <c r="C125" s="8" t="s">
        <v>200</v>
      </c>
      <c r="D125" s="8" t="s">
        <v>201</v>
      </c>
      <c r="E125" s="8" t="s">
        <v>451</v>
      </c>
      <c r="F125" s="8">
        <v>125.35590000000001</v>
      </c>
    </row>
    <row r="126" spans="1:6" ht="15" customHeight="1" x14ac:dyDescent="0.25">
      <c r="A126" s="8">
        <v>10265</v>
      </c>
      <c r="B126" s="8" t="s">
        <v>452</v>
      </c>
      <c r="C126" s="8" t="s">
        <v>453</v>
      </c>
      <c r="D126" s="8" t="s">
        <v>177</v>
      </c>
      <c r="E126" s="8" t="s">
        <v>454</v>
      </c>
      <c r="F126" s="8">
        <v>3157.5691999999999</v>
      </c>
    </row>
    <row r="127" spans="1:6" ht="15" customHeight="1" x14ac:dyDescent="0.25">
      <c r="A127" s="8">
        <v>10225</v>
      </c>
      <c r="B127" s="8" t="s">
        <v>455</v>
      </c>
      <c r="C127" s="8" t="s">
        <v>212</v>
      </c>
      <c r="D127" s="8" t="s">
        <v>282</v>
      </c>
      <c r="E127" s="8" t="s">
        <v>456</v>
      </c>
      <c r="F127" s="8">
        <v>362.34390000000002</v>
      </c>
    </row>
    <row r="128" spans="1:6" ht="15" customHeight="1" x14ac:dyDescent="0.25">
      <c r="A128" s="8">
        <v>10488</v>
      </c>
      <c r="B128" s="8" t="s">
        <v>457</v>
      </c>
      <c r="C128" s="8" t="s">
        <v>355</v>
      </c>
      <c r="D128" s="8" t="s">
        <v>279</v>
      </c>
      <c r="E128" s="8" t="s">
        <v>458</v>
      </c>
      <c r="F128" s="8">
        <v>4482.6018000000004</v>
      </c>
    </row>
    <row r="129" spans="1:6" ht="15" customHeight="1" x14ac:dyDescent="0.25">
      <c r="A129" s="8">
        <v>10722</v>
      </c>
      <c r="B129" s="8" t="s">
        <v>459</v>
      </c>
      <c r="C129" s="8" t="s">
        <v>243</v>
      </c>
      <c r="D129" s="8" t="s">
        <v>251</v>
      </c>
      <c r="E129" s="8" t="s">
        <v>460</v>
      </c>
      <c r="F129" s="8">
        <v>80.366100000000003</v>
      </c>
    </row>
    <row r="130" spans="1:6" ht="15" customHeight="1" x14ac:dyDescent="0.25">
      <c r="A130" s="8">
        <v>11105</v>
      </c>
      <c r="B130" s="8" t="s">
        <v>461</v>
      </c>
      <c r="C130" s="8" t="s">
        <v>243</v>
      </c>
      <c r="D130" s="8" t="s">
        <v>326</v>
      </c>
      <c r="E130" s="8" t="s">
        <v>462</v>
      </c>
      <c r="F130" s="8">
        <v>13.3096</v>
      </c>
    </row>
    <row r="131" spans="1:6" ht="15" customHeight="1" x14ac:dyDescent="0.25">
      <c r="A131" s="8">
        <v>10663</v>
      </c>
      <c r="B131" s="8" t="s">
        <v>463</v>
      </c>
      <c r="C131" s="8" t="s">
        <v>200</v>
      </c>
      <c r="D131" s="8" t="s">
        <v>201</v>
      </c>
      <c r="E131" s="8" t="s">
        <v>377</v>
      </c>
      <c r="F131" s="8">
        <v>71.614400000000003</v>
      </c>
    </row>
    <row r="132" spans="1:6" ht="15" customHeight="1" x14ac:dyDescent="0.25">
      <c r="A132" s="8">
        <v>10281</v>
      </c>
      <c r="B132" s="8" t="s">
        <v>464</v>
      </c>
      <c r="C132" s="8" t="s">
        <v>176</v>
      </c>
      <c r="D132" s="8" t="s">
        <v>177</v>
      </c>
      <c r="E132" s="8" t="s">
        <v>188</v>
      </c>
      <c r="F132" s="8">
        <v>40835</v>
      </c>
    </row>
    <row r="133" spans="1:6" ht="15" customHeight="1" x14ac:dyDescent="0.25">
      <c r="A133" s="8">
        <v>10376</v>
      </c>
      <c r="B133" s="8" t="s">
        <v>465</v>
      </c>
      <c r="C133" s="8" t="s">
        <v>466</v>
      </c>
      <c r="D133" s="8" t="s">
        <v>205</v>
      </c>
      <c r="E133" s="8" t="s">
        <v>219</v>
      </c>
      <c r="F133" s="8">
        <v>18230</v>
      </c>
    </row>
    <row r="134" spans="1:6" ht="15" customHeight="1" x14ac:dyDescent="0.25">
      <c r="A134" s="8">
        <v>10427</v>
      </c>
      <c r="B134" s="8" t="s">
        <v>467</v>
      </c>
      <c r="C134" s="8" t="s">
        <v>435</v>
      </c>
      <c r="D134" s="8" t="s">
        <v>213</v>
      </c>
      <c r="E134" s="8" t="s">
        <v>468</v>
      </c>
      <c r="F134" s="8">
        <v>464.7518</v>
      </c>
    </row>
    <row r="135" spans="1:6" ht="15" customHeight="1" x14ac:dyDescent="0.25">
      <c r="A135" s="8">
        <v>10112</v>
      </c>
      <c r="B135" s="8" t="s">
        <v>469</v>
      </c>
      <c r="C135" s="8" t="s">
        <v>212</v>
      </c>
      <c r="D135" s="8" t="s">
        <v>181</v>
      </c>
      <c r="E135" s="8" t="s">
        <v>470</v>
      </c>
      <c r="F135" s="8">
        <v>520.31790000000001</v>
      </c>
    </row>
    <row r="136" spans="1:6" ht="15" customHeight="1" x14ac:dyDescent="0.25">
      <c r="A136" s="8">
        <v>10494</v>
      </c>
      <c r="B136" s="8" t="s">
        <v>471</v>
      </c>
      <c r="C136" s="8" t="s">
        <v>355</v>
      </c>
      <c r="D136" s="8" t="s">
        <v>279</v>
      </c>
      <c r="E136" s="8" t="s">
        <v>356</v>
      </c>
      <c r="F136" s="8">
        <v>1825</v>
      </c>
    </row>
    <row r="137" spans="1:6" ht="15" customHeight="1" x14ac:dyDescent="0.25">
      <c r="A137" s="8">
        <v>10787</v>
      </c>
      <c r="B137" s="8" t="s">
        <v>472</v>
      </c>
      <c r="C137" s="8" t="s">
        <v>196</v>
      </c>
      <c r="D137" s="8" t="s">
        <v>197</v>
      </c>
      <c r="E137" s="8" t="s">
        <v>473</v>
      </c>
      <c r="F137" s="8">
        <v>14.5434</v>
      </c>
    </row>
    <row r="138" spans="1:6" ht="15" customHeight="1" x14ac:dyDescent="0.25">
      <c r="A138" s="8">
        <v>10144</v>
      </c>
      <c r="B138" s="8" t="s">
        <v>474</v>
      </c>
      <c r="C138" s="8" t="s">
        <v>187</v>
      </c>
      <c r="D138" s="8" t="s">
        <v>181</v>
      </c>
      <c r="E138" s="8" t="s">
        <v>475</v>
      </c>
      <c r="F138" s="8">
        <v>607.79</v>
      </c>
    </row>
    <row r="139" spans="1:6" ht="15" customHeight="1" x14ac:dyDescent="0.25">
      <c r="A139" s="8">
        <v>11101</v>
      </c>
      <c r="B139" s="8" t="s">
        <v>476</v>
      </c>
      <c r="C139" s="8" t="s">
        <v>200</v>
      </c>
      <c r="D139" s="8" t="s">
        <v>266</v>
      </c>
      <c r="E139" s="8" t="s">
        <v>360</v>
      </c>
      <c r="F139" s="8">
        <v>20.5503</v>
      </c>
    </row>
    <row r="140" spans="1:6" ht="15" customHeight="1" x14ac:dyDescent="0.25">
      <c r="A140" s="8">
        <v>10451</v>
      </c>
      <c r="B140" s="8" t="s">
        <v>477</v>
      </c>
      <c r="C140" s="8" t="s">
        <v>478</v>
      </c>
      <c r="D140" s="8" t="s">
        <v>227</v>
      </c>
      <c r="E140" s="8" t="s">
        <v>479</v>
      </c>
      <c r="F140" s="8">
        <v>229.2928</v>
      </c>
    </row>
    <row r="141" spans="1:6" ht="15" customHeight="1" x14ac:dyDescent="0.25">
      <c r="A141" s="8">
        <v>10335</v>
      </c>
      <c r="B141" s="8" t="s">
        <v>480</v>
      </c>
      <c r="C141" s="8" t="s">
        <v>187</v>
      </c>
      <c r="D141" s="8" t="s">
        <v>177</v>
      </c>
      <c r="E141" s="8" t="s">
        <v>273</v>
      </c>
      <c r="F141" s="8">
        <v>6140</v>
      </c>
    </row>
    <row r="142" spans="1:6" ht="15" customHeight="1" x14ac:dyDescent="0.25">
      <c r="A142" s="8">
        <v>11640</v>
      </c>
      <c r="B142" s="8" t="s">
        <v>481</v>
      </c>
      <c r="C142" s="8" t="s">
        <v>482</v>
      </c>
      <c r="D142" s="8" t="s">
        <v>266</v>
      </c>
      <c r="E142" s="8" t="s">
        <v>360</v>
      </c>
      <c r="F142" s="8">
        <v>141.721</v>
      </c>
    </row>
    <row r="143" spans="1:6" ht="15" customHeight="1" x14ac:dyDescent="0.25">
      <c r="A143" s="8">
        <v>10525</v>
      </c>
      <c r="B143" s="8" t="s">
        <v>483</v>
      </c>
      <c r="C143" s="8" t="s">
        <v>355</v>
      </c>
      <c r="D143" s="8" t="s">
        <v>279</v>
      </c>
      <c r="E143" s="8" t="s">
        <v>379</v>
      </c>
      <c r="F143" s="8">
        <v>2281.8000000000002</v>
      </c>
    </row>
    <row r="144" spans="1:6" ht="15" customHeight="1" x14ac:dyDescent="0.25">
      <c r="A144" s="8">
        <v>10256</v>
      </c>
      <c r="B144" s="8" t="s">
        <v>484</v>
      </c>
      <c r="C144" s="8" t="s">
        <v>272</v>
      </c>
      <c r="D144" s="8" t="s">
        <v>177</v>
      </c>
      <c r="E144" s="8" t="s">
        <v>275</v>
      </c>
      <c r="F144" s="8">
        <v>2920</v>
      </c>
    </row>
    <row r="145" spans="1:6" ht="15" customHeight="1" x14ac:dyDescent="0.25">
      <c r="A145" s="8">
        <v>10094</v>
      </c>
      <c r="B145" s="8" t="s">
        <v>485</v>
      </c>
      <c r="C145" s="8" t="s">
        <v>221</v>
      </c>
      <c r="D145" s="8" t="s">
        <v>340</v>
      </c>
      <c r="E145" s="8" t="s">
        <v>486</v>
      </c>
      <c r="F145" s="8">
        <v>15.746</v>
      </c>
    </row>
    <row r="146" spans="1:6" ht="15" customHeight="1" x14ac:dyDescent="0.25">
      <c r="A146" s="8">
        <v>10040</v>
      </c>
      <c r="B146" s="8" t="s">
        <v>487</v>
      </c>
      <c r="C146" s="8" t="s">
        <v>187</v>
      </c>
      <c r="D146" s="8" t="s">
        <v>197</v>
      </c>
      <c r="E146" s="8" t="s">
        <v>488</v>
      </c>
      <c r="F146" s="8">
        <v>32604.557000000001</v>
      </c>
    </row>
    <row r="147" spans="1:6" ht="15" customHeight="1" x14ac:dyDescent="0.25">
      <c r="A147" s="8">
        <v>10244</v>
      </c>
      <c r="B147" s="8" t="s">
        <v>489</v>
      </c>
      <c r="C147" s="8" t="s">
        <v>176</v>
      </c>
      <c r="D147" s="8" t="s">
        <v>177</v>
      </c>
      <c r="E147" s="8" t="s">
        <v>178</v>
      </c>
      <c r="F147" s="8">
        <v>52361.516499999998</v>
      </c>
    </row>
    <row r="148" spans="1:6" ht="15" customHeight="1" x14ac:dyDescent="0.25">
      <c r="A148" s="8">
        <v>10124</v>
      </c>
      <c r="B148" s="8" t="s">
        <v>490</v>
      </c>
      <c r="C148" s="8" t="s">
        <v>184</v>
      </c>
      <c r="D148" s="8" t="s">
        <v>181</v>
      </c>
      <c r="E148" s="8" t="s">
        <v>185</v>
      </c>
      <c r="F148" s="8">
        <v>32725.948700000001</v>
      </c>
    </row>
    <row r="149" spans="1:6" ht="15" customHeight="1" x14ac:dyDescent="0.25">
      <c r="A149" s="8">
        <v>11578</v>
      </c>
      <c r="B149" s="8" t="s">
        <v>491</v>
      </c>
      <c r="C149" s="8" t="s">
        <v>212</v>
      </c>
      <c r="D149" s="8" t="s">
        <v>282</v>
      </c>
      <c r="E149" s="8" t="s">
        <v>351</v>
      </c>
      <c r="F149" s="8">
        <v>2514.1898000000001</v>
      </c>
    </row>
    <row r="150" spans="1:6" ht="15" customHeight="1" x14ac:dyDescent="0.25">
      <c r="A150" s="8">
        <v>10123</v>
      </c>
      <c r="B150" s="8" t="s">
        <v>492</v>
      </c>
      <c r="C150" s="8" t="s">
        <v>184</v>
      </c>
      <c r="D150" s="8" t="s">
        <v>493</v>
      </c>
      <c r="E150" s="8" t="s">
        <v>494</v>
      </c>
      <c r="F150" s="8">
        <v>518.77829999999994</v>
      </c>
    </row>
    <row r="151" spans="1:6" ht="15" customHeight="1" x14ac:dyDescent="0.25">
      <c r="A151" s="8">
        <v>10673</v>
      </c>
      <c r="B151" s="8" t="s">
        <v>495</v>
      </c>
      <c r="C151" s="8" t="s">
        <v>496</v>
      </c>
      <c r="D151" s="8" t="s">
        <v>201</v>
      </c>
      <c r="E151" s="8" t="s">
        <v>285</v>
      </c>
      <c r="F151" s="8">
        <v>797.87890000000004</v>
      </c>
    </row>
    <row r="152" spans="1:6" ht="15" customHeight="1" x14ac:dyDescent="0.25">
      <c r="A152" s="8">
        <v>10309</v>
      </c>
      <c r="B152" s="8" t="s">
        <v>497</v>
      </c>
      <c r="C152" s="8" t="s">
        <v>272</v>
      </c>
      <c r="D152" s="8" t="s">
        <v>177</v>
      </c>
      <c r="E152" s="8" t="s">
        <v>275</v>
      </c>
      <c r="F152" s="8">
        <v>12662</v>
      </c>
    </row>
    <row r="153" spans="1:6" ht="15" customHeight="1" x14ac:dyDescent="0.25">
      <c r="A153" s="8">
        <v>10604</v>
      </c>
      <c r="B153" s="8" t="s">
        <v>498</v>
      </c>
      <c r="C153" s="8" t="s">
        <v>499</v>
      </c>
      <c r="D153" s="8" t="s">
        <v>266</v>
      </c>
      <c r="E153" s="8" t="s">
        <v>421</v>
      </c>
      <c r="F153" s="8">
        <v>756.55</v>
      </c>
    </row>
    <row r="154" spans="1:6" ht="15" customHeight="1" x14ac:dyDescent="0.25">
      <c r="A154" s="8">
        <v>10206</v>
      </c>
      <c r="B154" s="8" t="s">
        <v>500</v>
      </c>
      <c r="C154" s="8" t="s">
        <v>501</v>
      </c>
      <c r="D154" s="8" t="s">
        <v>282</v>
      </c>
      <c r="E154" s="8" t="s">
        <v>502</v>
      </c>
      <c r="F154" s="8">
        <v>5476.4672</v>
      </c>
    </row>
    <row r="155" spans="1:6" ht="15" customHeight="1" x14ac:dyDescent="0.25">
      <c r="A155" s="8">
        <v>10415</v>
      </c>
      <c r="B155" s="8" t="s">
        <v>503</v>
      </c>
      <c r="C155" s="8" t="s">
        <v>504</v>
      </c>
      <c r="D155" s="8" t="s">
        <v>257</v>
      </c>
      <c r="E155" s="8" t="s">
        <v>258</v>
      </c>
      <c r="F155" s="8">
        <v>303.16930000000002</v>
      </c>
    </row>
    <row r="156" spans="1:6" ht="15" customHeight="1" x14ac:dyDescent="0.25">
      <c r="A156" s="8">
        <v>10072</v>
      </c>
      <c r="B156" s="8" t="s">
        <v>505</v>
      </c>
      <c r="C156" s="8" t="s">
        <v>176</v>
      </c>
      <c r="D156" s="8" t="s">
        <v>197</v>
      </c>
      <c r="E156" s="8" t="s">
        <v>269</v>
      </c>
      <c r="F156" s="8">
        <v>13185</v>
      </c>
    </row>
    <row r="157" spans="1:6" ht="15" customHeight="1" x14ac:dyDescent="0.25">
      <c r="A157" s="8">
        <v>10334</v>
      </c>
      <c r="B157" s="8" t="s">
        <v>506</v>
      </c>
      <c r="C157" s="8" t="s">
        <v>176</v>
      </c>
      <c r="D157" s="8" t="s">
        <v>177</v>
      </c>
      <c r="E157" s="8" t="s">
        <v>300</v>
      </c>
      <c r="F157" s="8">
        <v>4908.5</v>
      </c>
    </row>
    <row r="158" spans="1:6" ht="15" customHeight="1" x14ac:dyDescent="0.25">
      <c r="A158" s="8">
        <v>10114</v>
      </c>
      <c r="B158" s="8" t="s">
        <v>507</v>
      </c>
      <c r="C158" s="8" t="s">
        <v>233</v>
      </c>
      <c r="D158" s="8" t="s">
        <v>181</v>
      </c>
      <c r="E158" s="8" t="s">
        <v>508</v>
      </c>
      <c r="F158" s="8">
        <v>330.18240400000002</v>
      </c>
    </row>
    <row r="159" spans="1:6" ht="15" customHeight="1" x14ac:dyDescent="0.25">
      <c r="A159" s="8">
        <v>10646</v>
      </c>
      <c r="B159" s="8" t="s">
        <v>509</v>
      </c>
      <c r="C159" s="8" t="s">
        <v>200</v>
      </c>
      <c r="D159" s="8" t="s">
        <v>201</v>
      </c>
      <c r="E159" s="8" t="s">
        <v>216</v>
      </c>
      <c r="F159" s="8">
        <v>111.919</v>
      </c>
    </row>
    <row r="160" spans="1:6" ht="15" customHeight="1" x14ac:dyDescent="0.25">
      <c r="A160" s="8">
        <v>11546</v>
      </c>
      <c r="B160" s="8" t="s">
        <v>510</v>
      </c>
      <c r="C160" s="8" t="s">
        <v>233</v>
      </c>
      <c r="D160" s="8" t="s">
        <v>282</v>
      </c>
      <c r="E160" s="8" t="s">
        <v>351</v>
      </c>
      <c r="F160" s="8">
        <v>2380.2444999999998</v>
      </c>
    </row>
    <row r="161" spans="1:6" ht="15" customHeight="1" x14ac:dyDescent="0.25">
      <c r="A161" s="8">
        <v>10521</v>
      </c>
      <c r="B161" s="8" t="s">
        <v>511</v>
      </c>
      <c r="C161" s="8" t="s">
        <v>355</v>
      </c>
      <c r="D161" s="8" t="s">
        <v>279</v>
      </c>
      <c r="E161" s="8" t="s">
        <v>356</v>
      </c>
      <c r="F161" s="8">
        <v>7879.4727000000003</v>
      </c>
    </row>
    <row r="162" spans="1:6" ht="15" customHeight="1" x14ac:dyDescent="0.25">
      <c r="A162" s="8">
        <v>10435</v>
      </c>
      <c r="B162" s="8" t="s">
        <v>512</v>
      </c>
      <c r="C162" s="8" t="s">
        <v>513</v>
      </c>
      <c r="D162" s="8" t="s">
        <v>213</v>
      </c>
      <c r="E162" s="8" t="s">
        <v>514</v>
      </c>
      <c r="F162" s="8">
        <v>953.1182</v>
      </c>
    </row>
    <row r="163" spans="1:6" ht="15" customHeight="1" x14ac:dyDescent="0.25">
      <c r="A163" s="8">
        <v>11201</v>
      </c>
      <c r="B163" s="8" t="s">
        <v>515</v>
      </c>
      <c r="C163" s="8" t="s">
        <v>516</v>
      </c>
      <c r="D163" s="8" t="s">
        <v>209</v>
      </c>
      <c r="E163" s="8" t="s">
        <v>222</v>
      </c>
      <c r="F163" s="8">
        <v>5877.4007000000001</v>
      </c>
    </row>
    <row r="164" spans="1:6" ht="15" customHeight="1" x14ac:dyDescent="0.25">
      <c r="A164" s="8">
        <v>10049</v>
      </c>
      <c r="B164" s="8" t="s">
        <v>517</v>
      </c>
      <c r="C164" s="8" t="s">
        <v>187</v>
      </c>
      <c r="D164" s="8" t="s">
        <v>197</v>
      </c>
      <c r="E164" s="8" t="s">
        <v>264</v>
      </c>
      <c r="F164" s="8">
        <v>6950</v>
      </c>
    </row>
    <row r="165" spans="1:6" ht="15" customHeight="1" x14ac:dyDescent="0.25">
      <c r="A165" s="8">
        <v>10382</v>
      </c>
      <c r="B165" s="8" t="s">
        <v>518</v>
      </c>
      <c r="C165" s="8" t="s">
        <v>519</v>
      </c>
      <c r="D165" s="8" t="s">
        <v>205</v>
      </c>
      <c r="E165" s="8" t="s">
        <v>219</v>
      </c>
      <c r="F165" s="8">
        <v>49660</v>
      </c>
    </row>
    <row r="166" spans="1:6" ht="15" customHeight="1" x14ac:dyDescent="0.25">
      <c r="A166" s="8">
        <v>10497</v>
      </c>
      <c r="B166" s="8" t="s">
        <v>520</v>
      </c>
      <c r="C166" s="8" t="s">
        <v>355</v>
      </c>
      <c r="D166" s="8" t="s">
        <v>279</v>
      </c>
      <c r="E166" s="8" t="s">
        <v>356</v>
      </c>
      <c r="F166" s="8">
        <v>2775</v>
      </c>
    </row>
    <row r="167" spans="1:6" ht="15" customHeight="1" x14ac:dyDescent="0.25">
      <c r="A167" s="8">
        <v>10011</v>
      </c>
      <c r="B167" s="8" t="s">
        <v>521</v>
      </c>
      <c r="C167" s="8" t="s">
        <v>332</v>
      </c>
      <c r="D167" s="8" t="s">
        <v>261</v>
      </c>
      <c r="E167" s="8" t="s">
        <v>324</v>
      </c>
      <c r="F167" s="8">
        <v>19103.786100000001</v>
      </c>
    </row>
    <row r="168" spans="1:6" ht="15" customHeight="1" x14ac:dyDescent="0.25">
      <c r="A168" s="8">
        <v>10129</v>
      </c>
      <c r="B168" s="8" t="s">
        <v>522</v>
      </c>
      <c r="C168" s="8" t="s">
        <v>243</v>
      </c>
      <c r="D168" s="8" t="s">
        <v>181</v>
      </c>
      <c r="E168" s="8" t="s">
        <v>470</v>
      </c>
      <c r="F168" s="8">
        <v>1776.9308000000001</v>
      </c>
    </row>
    <row r="169" spans="1:6" ht="15" customHeight="1" x14ac:dyDescent="0.25">
      <c r="A169" s="8">
        <v>10462</v>
      </c>
      <c r="B169" s="8" t="s">
        <v>523</v>
      </c>
      <c r="C169" s="8" t="s">
        <v>524</v>
      </c>
      <c r="D169" s="8" t="s">
        <v>337</v>
      </c>
      <c r="E169" s="8" t="s">
        <v>338</v>
      </c>
      <c r="F169" s="8">
        <v>201663.9094</v>
      </c>
    </row>
    <row r="170" spans="1:6" ht="15" customHeight="1" x14ac:dyDescent="0.25">
      <c r="A170" s="8">
        <v>10185</v>
      </c>
      <c r="B170" s="8" t="s">
        <v>525</v>
      </c>
      <c r="C170" s="8" t="s">
        <v>180</v>
      </c>
      <c r="D170" s="8" t="s">
        <v>282</v>
      </c>
      <c r="E170" s="8" t="s">
        <v>502</v>
      </c>
      <c r="F170" s="8">
        <v>8735.7047000000002</v>
      </c>
    </row>
    <row r="171" spans="1:6" ht="15" customHeight="1" x14ac:dyDescent="0.25">
      <c r="A171" s="8">
        <v>11074</v>
      </c>
      <c r="B171" s="8" t="s">
        <v>526</v>
      </c>
      <c r="C171" s="8" t="s">
        <v>243</v>
      </c>
      <c r="D171" s="8" t="s">
        <v>266</v>
      </c>
      <c r="E171" s="8" t="s">
        <v>360</v>
      </c>
      <c r="F171" s="8">
        <v>280.20760000000001</v>
      </c>
    </row>
    <row r="172" spans="1:6" ht="15" customHeight="1" x14ac:dyDescent="0.25">
      <c r="A172" s="8">
        <v>10058</v>
      </c>
      <c r="B172" s="8" t="s">
        <v>527</v>
      </c>
      <c r="C172" s="8" t="s">
        <v>187</v>
      </c>
      <c r="D172" s="8" t="s">
        <v>197</v>
      </c>
      <c r="E172" s="8" t="s">
        <v>528</v>
      </c>
      <c r="F172" s="8">
        <v>130.92910000000001</v>
      </c>
    </row>
    <row r="173" spans="1:6" ht="15" customHeight="1" x14ac:dyDescent="0.25">
      <c r="A173" s="8">
        <v>10151</v>
      </c>
      <c r="B173" s="8" t="s">
        <v>529</v>
      </c>
      <c r="C173" s="8" t="s">
        <v>530</v>
      </c>
      <c r="D173" s="8" t="s">
        <v>181</v>
      </c>
      <c r="E173" s="8" t="s">
        <v>185</v>
      </c>
      <c r="F173" s="8">
        <v>624580.62459999998</v>
      </c>
    </row>
    <row r="174" spans="1:6" ht="15" customHeight="1" x14ac:dyDescent="0.25">
      <c r="A174" s="8">
        <v>11142</v>
      </c>
      <c r="B174" s="8" t="s">
        <v>531</v>
      </c>
      <c r="C174" s="8" t="s">
        <v>200</v>
      </c>
      <c r="D174" s="8" t="s">
        <v>201</v>
      </c>
      <c r="E174" s="8" t="s">
        <v>532</v>
      </c>
      <c r="F174" s="8">
        <v>20.2409</v>
      </c>
    </row>
    <row r="175" spans="1:6" ht="15" customHeight="1" x14ac:dyDescent="0.25">
      <c r="A175" s="8">
        <v>10506</v>
      </c>
      <c r="B175" s="8" t="s">
        <v>533</v>
      </c>
      <c r="C175" s="8" t="s">
        <v>355</v>
      </c>
      <c r="D175" s="8" t="s">
        <v>279</v>
      </c>
      <c r="E175" s="8" t="s">
        <v>534</v>
      </c>
      <c r="F175" s="8">
        <v>334.375</v>
      </c>
    </row>
    <row r="176" spans="1:6" ht="15" customHeight="1" x14ac:dyDescent="0.25">
      <c r="A176" s="8">
        <v>10125</v>
      </c>
      <c r="B176" s="8" t="s">
        <v>535</v>
      </c>
      <c r="C176" s="8" t="s">
        <v>187</v>
      </c>
      <c r="D176" s="8" t="s">
        <v>181</v>
      </c>
      <c r="E176" s="8" t="s">
        <v>234</v>
      </c>
      <c r="F176" s="8">
        <v>51.6</v>
      </c>
    </row>
    <row r="177" spans="1:6" ht="15" customHeight="1" x14ac:dyDescent="0.25">
      <c r="A177" s="8">
        <v>10169</v>
      </c>
      <c r="B177" s="8" t="s">
        <v>536</v>
      </c>
      <c r="C177" s="8" t="s">
        <v>180</v>
      </c>
      <c r="D177" s="8" t="s">
        <v>282</v>
      </c>
      <c r="E177" s="8" t="s">
        <v>537</v>
      </c>
      <c r="F177" s="8">
        <v>231.8175</v>
      </c>
    </row>
    <row r="178" spans="1:6" ht="15" customHeight="1" x14ac:dyDescent="0.25">
      <c r="A178" s="8">
        <v>10892</v>
      </c>
      <c r="B178" s="8" t="s">
        <v>538</v>
      </c>
      <c r="C178" s="8" t="s">
        <v>187</v>
      </c>
      <c r="D178" s="8" t="s">
        <v>177</v>
      </c>
      <c r="E178" s="8" t="s">
        <v>539</v>
      </c>
      <c r="F178" s="8">
        <v>204.0033</v>
      </c>
    </row>
    <row r="179" spans="1:6" ht="15" customHeight="1" x14ac:dyDescent="0.25">
      <c r="A179" s="8">
        <v>10484</v>
      </c>
      <c r="B179" s="8" t="s">
        <v>540</v>
      </c>
      <c r="C179" s="8" t="s">
        <v>415</v>
      </c>
      <c r="D179" s="8" t="s">
        <v>320</v>
      </c>
      <c r="E179" s="8" t="s">
        <v>541</v>
      </c>
      <c r="F179" s="8">
        <v>1733.1723999999999</v>
      </c>
    </row>
    <row r="180" spans="1:6" ht="15" customHeight="1" x14ac:dyDescent="0.25">
      <c r="A180" s="8">
        <v>10148</v>
      </c>
      <c r="B180" s="8" t="s">
        <v>542</v>
      </c>
      <c r="C180" s="8" t="s">
        <v>180</v>
      </c>
      <c r="D180" s="8" t="s">
        <v>181</v>
      </c>
      <c r="E180" s="8" t="s">
        <v>182</v>
      </c>
      <c r="F180" s="8">
        <v>819.7</v>
      </c>
    </row>
    <row r="181" spans="1:6" ht="15" customHeight="1" x14ac:dyDescent="0.25">
      <c r="A181" s="8">
        <v>10229</v>
      </c>
      <c r="B181" s="8" t="s">
        <v>543</v>
      </c>
      <c r="C181" s="8" t="s">
        <v>176</v>
      </c>
      <c r="D181" s="8" t="s">
        <v>282</v>
      </c>
      <c r="E181" s="8" t="s">
        <v>544</v>
      </c>
      <c r="F181" s="8">
        <v>21320</v>
      </c>
    </row>
    <row r="182" spans="1:6" ht="15" customHeight="1" x14ac:dyDescent="0.25">
      <c r="A182" s="8">
        <v>10176</v>
      </c>
      <c r="B182" s="8" t="s">
        <v>545</v>
      </c>
      <c r="C182" s="8" t="s">
        <v>448</v>
      </c>
      <c r="D182" s="8" t="s">
        <v>282</v>
      </c>
      <c r="E182" s="8" t="s">
        <v>546</v>
      </c>
      <c r="F182" s="8">
        <v>6419.9818999999998</v>
      </c>
    </row>
    <row r="183" spans="1:6" ht="15" customHeight="1" x14ac:dyDescent="0.25">
      <c r="A183" s="8">
        <v>10223</v>
      </c>
      <c r="B183" s="8" t="s">
        <v>547</v>
      </c>
      <c r="C183" s="8" t="s">
        <v>180</v>
      </c>
      <c r="D183" s="8" t="s">
        <v>282</v>
      </c>
      <c r="E183" s="8" t="s">
        <v>428</v>
      </c>
      <c r="F183" s="8">
        <v>724.73599999999999</v>
      </c>
    </row>
    <row r="184" spans="1:6" ht="15" customHeight="1" x14ac:dyDescent="0.25">
      <c r="A184" s="8">
        <v>10556</v>
      </c>
      <c r="B184" s="8" t="s">
        <v>548</v>
      </c>
      <c r="C184" s="8" t="s">
        <v>355</v>
      </c>
      <c r="D184" s="8" t="s">
        <v>266</v>
      </c>
      <c r="E184" s="8" t="s">
        <v>549</v>
      </c>
      <c r="F184" s="8">
        <v>291.43490000000003</v>
      </c>
    </row>
    <row r="185" spans="1:6" ht="15" customHeight="1" x14ac:dyDescent="0.25">
      <c r="A185" s="8">
        <v>10086</v>
      </c>
      <c r="B185" s="8" t="s">
        <v>550</v>
      </c>
      <c r="C185" s="8" t="s">
        <v>221</v>
      </c>
      <c r="D185" s="8" t="s">
        <v>340</v>
      </c>
      <c r="E185" s="8" t="s">
        <v>341</v>
      </c>
      <c r="F185" s="8">
        <v>123.0335</v>
      </c>
    </row>
    <row r="186" spans="1:6" ht="15" customHeight="1" x14ac:dyDescent="0.25">
      <c r="A186" s="8">
        <v>10342</v>
      </c>
      <c r="B186" s="8" t="s">
        <v>551</v>
      </c>
      <c r="C186" s="8" t="s">
        <v>176</v>
      </c>
      <c r="D186" s="8" t="s">
        <v>177</v>
      </c>
      <c r="E186" s="8" t="s">
        <v>300</v>
      </c>
      <c r="F186" s="8">
        <v>820</v>
      </c>
    </row>
    <row r="187" spans="1:6" ht="15" customHeight="1" x14ac:dyDescent="0.25">
      <c r="A187" s="8">
        <v>10584</v>
      </c>
      <c r="B187" s="8" t="s">
        <v>552</v>
      </c>
      <c r="C187" s="8" t="s">
        <v>553</v>
      </c>
      <c r="D187" s="8" t="s">
        <v>266</v>
      </c>
      <c r="E187" s="8" t="s">
        <v>267</v>
      </c>
      <c r="F187" s="8">
        <v>14189.514999999999</v>
      </c>
    </row>
    <row r="188" spans="1:6" ht="15" customHeight="1" x14ac:dyDescent="0.25">
      <c r="A188" s="8">
        <v>10029</v>
      </c>
      <c r="B188" s="8" t="s">
        <v>554</v>
      </c>
      <c r="C188" s="8" t="s">
        <v>187</v>
      </c>
      <c r="D188" s="8" t="s">
        <v>197</v>
      </c>
      <c r="E188" s="8" t="s">
        <v>555</v>
      </c>
      <c r="F188" s="8">
        <v>9850</v>
      </c>
    </row>
    <row r="189" spans="1:6" ht="15" customHeight="1" x14ac:dyDescent="0.25">
      <c r="A189" s="8">
        <v>10073</v>
      </c>
      <c r="B189" s="8" t="s">
        <v>556</v>
      </c>
      <c r="C189" s="8" t="s">
        <v>187</v>
      </c>
      <c r="D189" s="8" t="s">
        <v>197</v>
      </c>
      <c r="E189" s="8" t="s">
        <v>557</v>
      </c>
      <c r="F189" s="8">
        <v>200.75360000000001</v>
      </c>
    </row>
    <row r="190" spans="1:6" ht="15" customHeight="1" x14ac:dyDescent="0.25">
      <c r="A190" s="8">
        <v>10115</v>
      </c>
      <c r="B190" s="8" t="s">
        <v>558</v>
      </c>
      <c r="C190" s="8" t="s">
        <v>187</v>
      </c>
      <c r="D190" s="8" t="s">
        <v>181</v>
      </c>
      <c r="E190" s="8" t="s">
        <v>559</v>
      </c>
      <c r="F190" s="8">
        <v>120.72499999999999</v>
      </c>
    </row>
    <row r="191" spans="1:6" ht="15" customHeight="1" x14ac:dyDescent="0.25">
      <c r="A191" s="8">
        <v>10146</v>
      </c>
      <c r="B191" s="8" t="s">
        <v>560</v>
      </c>
      <c r="C191" s="8" t="s">
        <v>530</v>
      </c>
      <c r="D191" s="8" t="s">
        <v>181</v>
      </c>
      <c r="E191" s="8" t="s">
        <v>185</v>
      </c>
      <c r="F191" s="8">
        <v>131571.48929999999</v>
      </c>
    </row>
    <row r="192" spans="1:6" ht="15" customHeight="1" x14ac:dyDescent="0.25">
      <c r="A192" s="8">
        <v>10250</v>
      </c>
      <c r="B192" s="8" t="s">
        <v>561</v>
      </c>
      <c r="C192" s="8" t="s">
        <v>176</v>
      </c>
      <c r="D192" s="8" t="s">
        <v>177</v>
      </c>
      <c r="E192" s="8" t="s">
        <v>273</v>
      </c>
      <c r="F192" s="8">
        <v>2436.1866</v>
      </c>
    </row>
    <row r="193" spans="1:6" ht="15" customHeight="1" x14ac:dyDescent="0.25">
      <c r="A193" s="8">
        <v>10781</v>
      </c>
      <c r="B193" s="8" t="s">
        <v>562</v>
      </c>
      <c r="C193" s="8" t="s">
        <v>563</v>
      </c>
      <c r="D193" s="8" t="s">
        <v>261</v>
      </c>
      <c r="E193" s="8" t="s">
        <v>324</v>
      </c>
      <c r="F193" s="8">
        <v>129.23519999999999</v>
      </c>
    </row>
    <row r="194" spans="1:6" ht="15" customHeight="1" x14ac:dyDescent="0.25">
      <c r="A194" s="8">
        <v>10031</v>
      </c>
      <c r="B194" s="8" t="s">
        <v>564</v>
      </c>
      <c r="C194" s="8" t="s">
        <v>176</v>
      </c>
      <c r="D194" s="8" t="s">
        <v>197</v>
      </c>
      <c r="E194" s="8" t="s">
        <v>269</v>
      </c>
      <c r="F194" s="8">
        <v>5122</v>
      </c>
    </row>
    <row r="195" spans="1:6" ht="15" customHeight="1" x14ac:dyDescent="0.25">
      <c r="A195" s="8">
        <v>10008</v>
      </c>
      <c r="B195" s="8" t="s">
        <v>565</v>
      </c>
      <c r="C195" s="8" t="s">
        <v>566</v>
      </c>
      <c r="D195" s="8" t="s">
        <v>261</v>
      </c>
      <c r="E195" s="8" t="s">
        <v>324</v>
      </c>
      <c r="F195" s="8">
        <v>1818694</v>
      </c>
    </row>
    <row r="196" spans="1:6" ht="15" customHeight="1" x14ac:dyDescent="0.25">
      <c r="A196" s="8">
        <v>10522</v>
      </c>
      <c r="B196" s="8" t="s">
        <v>567</v>
      </c>
      <c r="C196" s="8" t="s">
        <v>278</v>
      </c>
      <c r="D196" s="8" t="s">
        <v>279</v>
      </c>
      <c r="E196" s="8" t="s">
        <v>568</v>
      </c>
      <c r="F196" s="8">
        <v>65.856999999999999</v>
      </c>
    </row>
    <row r="197" spans="1:6" ht="15" customHeight="1" x14ac:dyDescent="0.25">
      <c r="A197" s="8">
        <v>10492</v>
      </c>
      <c r="B197" s="8" t="s">
        <v>569</v>
      </c>
      <c r="C197" s="8" t="s">
        <v>355</v>
      </c>
      <c r="D197" s="8" t="s">
        <v>279</v>
      </c>
      <c r="E197" s="8" t="s">
        <v>356</v>
      </c>
      <c r="F197" s="8">
        <v>3140.5814999999998</v>
      </c>
    </row>
    <row r="198" spans="1:6" ht="15" customHeight="1" x14ac:dyDescent="0.25">
      <c r="A198" s="8">
        <v>11912</v>
      </c>
      <c r="B198" s="8" t="s">
        <v>570</v>
      </c>
      <c r="C198" s="8" t="s">
        <v>571</v>
      </c>
      <c r="D198" s="8" t="s">
        <v>227</v>
      </c>
      <c r="E198" s="8" t="s">
        <v>405</v>
      </c>
      <c r="F198" s="8">
        <v>250.30119999999999</v>
      </c>
    </row>
    <row r="199" spans="1:6" ht="15" customHeight="1" x14ac:dyDescent="0.25">
      <c r="A199" s="8">
        <v>11651</v>
      </c>
      <c r="B199" s="8" t="s">
        <v>572</v>
      </c>
      <c r="C199" s="8" t="s">
        <v>573</v>
      </c>
      <c r="D199" s="8" t="s">
        <v>209</v>
      </c>
      <c r="E199" s="8" t="s">
        <v>210</v>
      </c>
      <c r="F199" s="8">
        <v>20759.040400000002</v>
      </c>
    </row>
    <row r="200" spans="1:6" ht="15" customHeight="1" x14ac:dyDescent="0.25">
      <c r="A200" s="8">
        <v>11064</v>
      </c>
      <c r="B200" s="8" t="s">
        <v>574</v>
      </c>
      <c r="C200" s="8" t="s">
        <v>575</v>
      </c>
      <c r="D200" s="8" t="s">
        <v>266</v>
      </c>
      <c r="E200" s="8" t="s">
        <v>267</v>
      </c>
      <c r="F200" s="8">
        <v>55008.370900000002</v>
      </c>
    </row>
    <row r="201" spans="1:6" ht="15" customHeight="1" x14ac:dyDescent="0.25">
      <c r="A201" s="8">
        <v>11005</v>
      </c>
      <c r="B201" s="8" t="s">
        <v>576</v>
      </c>
      <c r="C201" s="8" t="s">
        <v>278</v>
      </c>
      <c r="D201" s="8" t="s">
        <v>279</v>
      </c>
      <c r="E201" s="8" t="s">
        <v>577</v>
      </c>
      <c r="F201" s="8">
        <v>39629.902699999999</v>
      </c>
    </row>
    <row r="202" spans="1:6" ht="15" customHeight="1" x14ac:dyDescent="0.25">
      <c r="A202" s="8">
        <v>10732</v>
      </c>
      <c r="B202" s="8" t="s">
        <v>578</v>
      </c>
      <c r="C202" s="8" t="s">
        <v>243</v>
      </c>
      <c r="D202" s="8" t="s">
        <v>251</v>
      </c>
      <c r="E202" s="8" t="s">
        <v>579</v>
      </c>
      <c r="F202" s="8">
        <v>374.79399999999998</v>
      </c>
    </row>
    <row r="203" spans="1:6" ht="15" customHeight="1" x14ac:dyDescent="0.25">
      <c r="A203" s="8">
        <v>10730</v>
      </c>
      <c r="B203" s="8" t="s">
        <v>580</v>
      </c>
      <c r="C203" s="8" t="s">
        <v>180</v>
      </c>
      <c r="D203" s="8" t="s">
        <v>251</v>
      </c>
      <c r="E203" s="8" t="s">
        <v>581</v>
      </c>
      <c r="F203" s="8">
        <v>88.913200000000003</v>
      </c>
    </row>
    <row r="204" spans="1:6" ht="15" customHeight="1" x14ac:dyDescent="0.25">
      <c r="A204" s="8">
        <v>10907</v>
      </c>
      <c r="B204" s="8" t="s">
        <v>582</v>
      </c>
      <c r="C204" s="8" t="s">
        <v>212</v>
      </c>
      <c r="D204" s="8" t="s">
        <v>213</v>
      </c>
      <c r="E204" s="8" t="s">
        <v>583</v>
      </c>
      <c r="F204" s="8">
        <v>569.99310000000003</v>
      </c>
    </row>
    <row r="205" spans="1:6" ht="15" customHeight="1" x14ac:dyDescent="0.25">
      <c r="A205" s="8">
        <v>11056</v>
      </c>
      <c r="B205" s="8" t="s">
        <v>584</v>
      </c>
      <c r="C205" s="8" t="s">
        <v>585</v>
      </c>
      <c r="D205" s="8" t="s">
        <v>266</v>
      </c>
      <c r="E205" s="8" t="s">
        <v>586</v>
      </c>
      <c r="F205" s="8">
        <v>248.46950000000001</v>
      </c>
    </row>
    <row r="206" spans="1:6" ht="15" customHeight="1" x14ac:dyDescent="0.25">
      <c r="A206" s="8">
        <v>11029</v>
      </c>
      <c r="B206" s="8" t="s">
        <v>587</v>
      </c>
      <c r="C206" s="8" t="s">
        <v>278</v>
      </c>
      <c r="D206" s="8" t="s">
        <v>266</v>
      </c>
      <c r="E206" s="8" t="s">
        <v>588</v>
      </c>
      <c r="F206" s="8">
        <v>37.905500000000004</v>
      </c>
    </row>
    <row r="207" spans="1:6" ht="15" customHeight="1" x14ac:dyDescent="0.25">
      <c r="A207" s="8">
        <v>10028</v>
      </c>
      <c r="B207" s="8" t="s">
        <v>589</v>
      </c>
      <c r="C207" s="8" t="s">
        <v>187</v>
      </c>
      <c r="D207" s="8" t="s">
        <v>197</v>
      </c>
      <c r="E207" s="8" t="s">
        <v>590</v>
      </c>
      <c r="F207" s="8">
        <v>23843.115000000002</v>
      </c>
    </row>
    <row r="208" spans="1:6" ht="15" customHeight="1" x14ac:dyDescent="0.25">
      <c r="A208" s="8">
        <v>10644</v>
      </c>
      <c r="B208" s="8" t="s">
        <v>591</v>
      </c>
      <c r="C208" s="8" t="s">
        <v>200</v>
      </c>
      <c r="D208" s="8" t="s">
        <v>201</v>
      </c>
      <c r="E208" s="8" t="s">
        <v>216</v>
      </c>
      <c r="F208" s="8">
        <v>634.97</v>
      </c>
    </row>
    <row r="209" spans="1:6" ht="15" customHeight="1" x14ac:dyDescent="0.25">
      <c r="A209" s="8">
        <v>10365</v>
      </c>
      <c r="B209" s="8" t="s">
        <v>592</v>
      </c>
      <c r="C209" s="8" t="s">
        <v>187</v>
      </c>
      <c r="D209" s="8" t="s">
        <v>230</v>
      </c>
      <c r="E209" s="8" t="s">
        <v>593</v>
      </c>
      <c r="F209" s="8">
        <v>2815.75</v>
      </c>
    </row>
    <row r="210" spans="1:6" ht="15" customHeight="1" x14ac:dyDescent="0.25">
      <c r="A210" s="8">
        <v>10380</v>
      </c>
      <c r="B210" s="8" t="s">
        <v>594</v>
      </c>
      <c r="C210" s="8" t="s">
        <v>595</v>
      </c>
      <c r="D210" s="8" t="s">
        <v>205</v>
      </c>
      <c r="E210" s="8" t="s">
        <v>219</v>
      </c>
      <c r="F210" s="8">
        <v>31940</v>
      </c>
    </row>
    <row r="211" spans="1:6" ht="15" customHeight="1" x14ac:dyDescent="0.25">
      <c r="A211" s="8">
        <v>10564</v>
      </c>
      <c r="B211" s="8" t="s">
        <v>596</v>
      </c>
      <c r="C211" s="8" t="s">
        <v>233</v>
      </c>
      <c r="D211" s="8" t="s">
        <v>266</v>
      </c>
      <c r="E211" s="8" t="s">
        <v>588</v>
      </c>
      <c r="F211" s="8">
        <v>3066</v>
      </c>
    </row>
    <row r="212" spans="1:6" ht="15" customHeight="1" x14ac:dyDescent="0.25">
      <c r="A212" s="8">
        <v>10665</v>
      </c>
      <c r="B212" s="8" t="s">
        <v>597</v>
      </c>
      <c r="C212" s="8" t="s">
        <v>598</v>
      </c>
      <c r="D212" s="8" t="s">
        <v>201</v>
      </c>
      <c r="E212" s="8" t="s">
        <v>599</v>
      </c>
      <c r="F212" s="8">
        <v>203.99879999999999</v>
      </c>
    </row>
    <row r="213" spans="1:6" ht="15" customHeight="1" x14ac:dyDescent="0.25">
      <c r="A213" s="8">
        <v>10386</v>
      </c>
      <c r="B213" s="8" t="s">
        <v>600</v>
      </c>
      <c r="C213" s="8" t="s">
        <v>208</v>
      </c>
      <c r="D213" s="8" t="s">
        <v>205</v>
      </c>
      <c r="E213" s="8" t="s">
        <v>206</v>
      </c>
      <c r="F213" s="8">
        <v>7960</v>
      </c>
    </row>
    <row r="214" spans="1:6" ht="15" customHeight="1" x14ac:dyDescent="0.25">
      <c r="A214" s="8">
        <v>10544</v>
      </c>
      <c r="B214" s="8" t="s">
        <v>601</v>
      </c>
      <c r="C214" s="9" t="s">
        <v>602</v>
      </c>
      <c r="D214" s="8" t="s">
        <v>279</v>
      </c>
      <c r="E214" s="8" t="s">
        <v>280</v>
      </c>
      <c r="F214" s="8">
        <v>47929.481200000002</v>
      </c>
    </row>
    <row r="215" spans="1:6" ht="15" customHeight="1" x14ac:dyDescent="0.25">
      <c r="A215" s="8">
        <v>10999</v>
      </c>
      <c r="B215" s="8" t="s">
        <v>603</v>
      </c>
      <c r="C215" s="8" t="s">
        <v>355</v>
      </c>
      <c r="D215" s="8" t="s">
        <v>279</v>
      </c>
      <c r="E215" s="8" t="s">
        <v>534</v>
      </c>
      <c r="F215" s="8">
        <v>628.11659999999995</v>
      </c>
    </row>
    <row r="216" spans="1:6" ht="15" customHeight="1" x14ac:dyDescent="0.25">
      <c r="A216" s="8">
        <v>11321</v>
      </c>
      <c r="B216" s="8" t="s">
        <v>604</v>
      </c>
      <c r="C216" s="8" t="s">
        <v>605</v>
      </c>
      <c r="D216" s="8" t="s">
        <v>209</v>
      </c>
      <c r="E216" s="8" t="s">
        <v>606</v>
      </c>
      <c r="F216" s="8">
        <v>1086.3533199999999</v>
      </c>
    </row>
    <row r="217" spans="1:6" ht="15" customHeight="1" x14ac:dyDescent="0.25">
      <c r="A217" s="8">
        <v>10755</v>
      </c>
      <c r="B217" s="8" t="s">
        <v>607</v>
      </c>
      <c r="C217" s="8" t="s">
        <v>221</v>
      </c>
      <c r="D217" s="8" t="s">
        <v>209</v>
      </c>
      <c r="E217" s="8" t="s">
        <v>222</v>
      </c>
      <c r="F217" s="8">
        <v>18700</v>
      </c>
    </row>
    <row r="218" spans="1:6" ht="15" customHeight="1" x14ac:dyDescent="0.25">
      <c r="A218" s="8">
        <v>10065</v>
      </c>
      <c r="B218" s="8" t="s">
        <v>608</v>
      </c>
      <c r="C218" s="8" t="s">
        <v>243</v>
      </c>
      <c r="D218" s="8" t="s">
        <v>197</v>
      </c>
      <c r="E218" s="8" t="s">
        <v>198</v>
      </c>
      <c r="F218" s="8">
        <v>38.213700000000003</v>
      </c>
    </row>
    <row r="219" spans="1:6" ht="15" customHeight="1" x14ac:dyDescent="0.25">
      <c r="A219" s="8">
        <v>10681</v>
      </c>
      <c r="B219" s="8" t="s">
        <v>609</v>
      </c>
      <c r="C219" s="8" t="s">
        <v>200</v>
      </c>
      <c r="D219" s="8" t="s">
        <v>201</v>
      </c>
      <c r="E219" s="8" t="s">
        <v>451</v>
      </c>
      <c r="F219" s="8">
        <v>369.21899999999999</v>
      </c>
    </row>
    <row r="220" spans="1:6" ht="15" customHeight="1" x14ac:dyDescent="0.25">
      <c r="A220" s="8">
        <v>10622</v>
      </c>
      <c r="B220" s="8" t="s">
        <v>610</v>
      </c>
      <c r="C220" s="8" t="s">
        <v>243</v>
      </c>
      <c r="D220" s="8" t="s">
        <v>244</v>
      </c>
      <c r="E220" s="8" t="s">
        <v>611</v>
      </c>
      <c r="F220" s="8">
        <v>136.35650000000001</v>
      </c>
    </row>
    <row r="221" spans="1:6" ht="15" customHeight="1" x14ac:dyDescent="0.25">
      <c r="A221" s="8">
        <v>10150</v>
      </c>
      <c r="B221" s="8" t="s">
        <v>612</v>
      </c>
      <c r="C221" s="8" t="s">
        <v>200</v>
      </c>
      <c r="D221" s="8" t="s">
        <v>181</v>
      </c>
      <c r="E221" s="8" t="s">
        <v>470</v>
      </c>
      <c r="F221" s="8">
        <v>146500</v>
      </c>
    </row>
    <row r="222" spans="1:6" ht="15" customHeight="1" x14ac:dyDescent="0.25">
      <c r="A222" s="8">
        <v>10010</v>
      </c>
      <c r="B222" s="8" t="s">
        <v>613</v>
      </c>
      <c r="C222" s="8" t="s">
        <v>614</v>
      </c>
      <c r="D222" s="8" t="s">
        <v>261</v>
      </c>
      <c r="E222" s="8" t="s">
        <v>262</v>
      </c>
      <c r="F222" s="8">
        <v>260933</v>
      </c>
    </row>
    <row r="223" spans="1:6" ht="15" customHeight="1" x14ac:dyDescent="0.25">
      <c r="A223" s="8">
        <v>10388</v>
      </c>
      <c r="B223" s="8" t="s">
        <v>615</v>
      </c>
      <c r="C223" s="8" t="s">
        <v>616</v>
      </c>
      <c r="D223" s="8" t="s">
        <v>205</v>
      </c>
      <c r="E223" s="8" t="s">
        <v>219</v>
      </c>
      <c r="F223" s="8">
        <v>52296.0723</v>
      </c>
    </row>
    <row r="224" spans="1:6" ht="15" customHeight="1" x14ac:dyDescent="0.25">
      <c r="A224" s="8">
        <v>10776</v>
      </c>
      <c r="B224" s="8" t="s">
        <v>617</v>
      </c>
      <c r="C224" s="8" t="s">
        <v>221</v>
      </c>
      <c r="D224" s="8" t="s">
        <v>209</v>
      </c>
      <c r="E224" s="8" t="s">
        <v>210</v>
      </c>
      <c r="F224" s="8">
        <v>3985</v>
      </c>
    </row>
    <row r="225" spans="1:6" ht="15" customHeight="1" x14ac:dyDescent="0.25">
      <c r="A225" s="8">
        <v>10608</v>
      </c>
      <c r="B225" s="8" t="s">
        <v>618</v>
      </c>
      <c r="C225" s="8" t="s">
        <v>553</v>
      </c>
      <c r="D225" s="8" t="s">
        <v>266</v>
      </c>
      <c r="E225" s="8" t="s">
        <v>267</v>
      </c>
      <c r="F225" s="8">
        <v>2783.9229999999998</v>
      </c>
    </row>
    <row r="226" spans="1:6" ht="15" customHeight="1" x14ac:dyDescent="0.25">
      <c r="A226" s="8">
        <v>10078</v>
      </c>
      <c r="B226" s="8" t="s">
        <v>619</v>
      </c>
      <c r="C226" s="8" t="s">
        <v>221</v>
      </c>
      <c r="D226" s="8" t="s">
        <v>340</v>
      </c>
      <c r="E226" s="8" t="s">
        <v>620</v>
      </c>
      <c r="F226" s="8">
        <v>232.14109999999999</v>
      </c>
    </row>
    <row r="227" spans="1:6" ht="15" customHeight="1" x14ac:dyDescent="0.25">
      <c r="A227" s="8">
        <v>11439</v>
      </c>
      <c r="B227" s="8" t="s">
        <v>621</v>
      </c>
      <c r="C227" s="8" t="s">
        <v>504</v>
      </c>
      <c r="D227" s="8" t="s">
        <v>320</v>
      </c>
      <c r="E227" s="8" t="s">
        <v>541</v>
      </c>
      <c r="F227" s="8">
        <v>24000</v>
      </c>
    </row>
    <row r="228" spans="1:6" ht="15" customHeight="1" x14ac:dyDescent="0.25">
      <c r="A228" s="8">
        <v>10501</v>
      </c>
      <c r="B228" s="8" t="s">
        <v>622</v>
      </c>
      <c r="C228" s="8" t="s">
        <v>278</v>
      </c>
      <c r="D228" s="8" t="s">
        <v>279</v>
      </c>
      <c r="E228" s="8" t="s">
        <v>623</v>
      </c>
      <c r="F228" s="8">
        <v>12276.838299999999</v>
      </c>
    </row>
    <row r="229" spans="1:6" ht="15" customHeight="1" x14ac:dyDescent="0.25">
      <c r="A229" s="8">
        <v>10431</v>
      </c>
      <c r="B229" s="8" t="s">
        <v>624</v>
      </c>
      <c r="C229" s="8" t="s">
        <v>435</v>
      </c>
      <c r="D229" s="8" t="s">
        <v>213</v>
      </c>
      <c r="E229" s="8" t="s">
        <v>214</v>
      </c>
      <c r="F229" s="8">
        <v>311.68329999999997</v>
      </c>
    </row>
    <row r="230" spans="1:6" ht="15" customHeight="1" x14ac:dyDescent="0.25">
      <c r="A230" s="8">
        <v>10238</v>
      </c>
      <c r="B230" s="8" t="s">
        <v>625</v>
      </c>
      <c r="C230" s="8" t="s">
        <v>365</v>
      </c>
      <c r="D230" s="8" t="s">
        <v>337</v>
      </c>
      <c r="E230" s="8" t="s">
        <v>366</v>
      </c>
      <c r="F230" s="8">
        <v>156.58879999999999</v>
      </c>
    </row>
    <row r="231" spans="1:6" ht="15" customHeight="1" x14ac:dyDescent="0.25">
      <c r="A231" s="8">
        <v>10163</v>
      </c>
      <c r="B231" s="8" t="s">
        <v>626</v>
      </c>
      <c r="C231" s="8" t="s">
        <v>627</v>
      </c>
      <c r="D231" s="8" t="s">
        <v>282</v>
      </c>
      <c r="E231" s="8" t="s">
        <v>544</v>
      </c>
      <c r="F231" s="8">
        <v>4928.7475999999997</v>
      </c>
    </row>
    <row r="232" spans="1:6" ht="15" customHeight="1" x14ac:dyDescent="0.25">
      <c r="A232" s="8">
        <v>10077</v>
      </c>
      <c r="B232" s="8" t="s">
        <v>628</v>
      </c>
      <c r="C232" s="8" t="s">
        <v>221</v>
      </c>
      <c r="D232" s="8" t="s">
        <v>340</v>
      </c>
      <c r="E232" s="8" t="s">
        <v>620</v>
      </c>
      <c r="F232" s="8">
        <v>93.6661</v>
      </c>
    </row>
    <row r="233" spans="1:6" ht="15" customHeight="1" x14ac:dyDescent="0.25">
      <c r="A233" s="8">
        <v>10910</v>
      </c>
      <c r="B233" s="8" t="s">
        <v>629</v>
      </c>
      <c r="C233" s="8" t="s">
        <v>212</v>
      </c>
      <c r="D233" s="8" t="s">
        <v>213</v>
      </c>
      <c r="E233" s="8" t="s">
        <v>214</v>
      </c>
      <c r="F233" s="8">
        <v>55.986400000000003</v>
      </c>
    </row>
    <row r="234" spans="1:6" ht="15" customHeight="1" x14ac:dyDescent="0.25">
      <c r="A234" s="8">
        <v>10082</v>
      </c>
      <c r="B234" s="8" t="s">
        <v>630</v>
      </c>
      <c r="C234" s="8" t="s">
        <v>221</v>
      </c>
      <c r="D234" s="8" t="s">
        <v>340</v>
      </c>
      <c r="E234" s="8" t="s">
        <v>341</v>
      </c>
      <c r="F234" s="8">
        <v>77.349999999999994</v>
      </c>
    </row>
    <row r="235" spans="1:6" ht="15" customHeight="1" x14ac:dyDescent="0.25">
      <c r="A235" s="8">
        <v>10277</v>
      </c>
      <c r="B235" s="8" t="s">
        <v>631</v>
      </c>
      <c r="C235" s="8" t="s">
        <v>176</v>
      </c>
      <c r="D235" s="8" t="s">
        <v>177</v>
      </c>
      <c r="E235" s="8" t="s">
        <v>425</v>
      </c>
      <c r="F235" s="8">
        <v>428.178</v>
      </c>
    </row>
    <row r="236" spans="1:6" ht="15" customHeight="1" x14ac:dyDescent="0.25">
      <c r="A236" s="8">
        <v>10539</v>
      </c>
      <c r="B236" s="8" t="s">
        <v>632</v>
      </c>
      <c r="C236" s="8" t="s">
        <v>585</v>
      </c>
      <c r="D236" s="8" t="s">
        <v>279</v>
      </c>
      <c r="E236" s="8" t="s">
        <v>280</v>
      </c>
      <c r="F236" s="8">
        <v>1140</v>
      </c>
    </row>
    <row r="237" spans="1:6" ht="15" customHeight="1" x14ac:dyDescent="0.25">
      <c r="A237" s="8">
        <v>10425</v>
      </c>
      <c r="B237" s="8" t="s">
        <v>633</v>
      </c>
      <c r="C237" s="8" t="s">
        <v>634</v>
      </c>
      <c r="D237" s="8" t="s">
        <v>213</v>
      </c>
      <c r="E237" s="8" t="s">
        <v>635</v>
      </c>
      <c r="F237" s="8">
        <v>226.96899999999999</v>
      </c>
    </row>
    <row r="238" spans="1:6" ht="15" customHeight="1" x14ac:dyDescent="0.25">
      <c r="A238" s="8">
        <v>10467</v>
      </c>
      <c r="B238" s="8" t="s">
        <v>636</v>
      </c>
      <c r="C238" s="8" t="s">
        <v>637</v>
      </c>
      <c r="D238" s="8" t="s">
        <v>320</v>
      </c>
      <c r="E238" s="8" t="s">
        <v>541</v>
      </c>
      <c r="F238" s="8">
        <v>1937.6257000000001</v>
      </c>
    </row>
    <row r="239" spans="1:6" ht="15" customHeight="1" x14ac:dyDescent="0.25">
      <c r="A239" s="8">
        <v>10107</v>
      </c>
      <c r="B239" s="8" t="s">
        <v>638</v>
      </c>
      <c r="C239" s="8" t="s">
        <v>187</v>
      </c>
      <c r="D239" s="8" t="s">
        <v>181</v>
      </c>
      <c r="E239" s="8" t="s">
        <v>475</v>
      </c>
      <c r="F239" s="8">
        <v>1215.5564999999999</v>
      </c>
    </row>
    <row r="240" spans="1:6" ht="15" customHeight="1" x14ac:dyDescent="0.25">
      <c r="A240" s="8">
        <v>10615</v>
      </c>
      <c r="B240" s="8" t="s">
        <v>639</v>
      </c>
      <c r="C240" s="8" t="s">
        <v>233</v>
      </c>
      <c r="D240" s="8" t="s">
        <v>266</v>
      </c>
      <c r="E240" s="8" t="s">
        <v>588</v>
      </c>
      <c r="F240" s="8">
        <v>26716.930499999999</v>
      </c>
    </row>
    <row r="241" spans="1:6" ht="15" customHeight="1" x14ac:dyDescent="0.25">
      <c r="A241" s="8">
        <v>10324</v>
      </c>
      <c r="B241" s="8" t="s">
        <v>640</v>
      </c>
      <c r="C241" s="8" t="s">
        <v>176</v>
      </c>
      <c r="D241" s="8" t="s">
        <v>177</v>
      </c>
      <c r="E241" s="8" t="s">
        <v>310</v>
      </c>
      <c r="F241" s="8">
        <v>9500</v>
      </c>
    </row>
    <row r="242" spans="1:6" ht="15" customHeight="1" x14ac:dyDescent="0.25">
      <c r="A242" s="8">
        <v>10134</v>
      </c>
      <c r="B242" s="8" t="s">
        <v>641</v>
      </c>
      <c r="C242" s="8" t="s">
        <v>530</v>
      </c>
      <c r="D242" s="8" t="s">
        <v>181</v>
      </c>
      <c r="E242" s="8" t="s">
        <v>185</v>
      </c>
      <c r="F242" s="8">
        <v>417883.97940000001</v>
      </c>
    </row>
    <row r="243" spans="1:6" ht="15" customHeight="1" x14ac:dyDescent="0.25">
      <c r="A243" s="8">
        <v>10097</v>
      </c>
      <c r="B243" s="8" t="s">
        <v>642</v>
      </c>
      <c r="C243" s="8" t="s">
        <v>221</v>
      </c>
      <c r="D243" s="8" t="s">
        <v>340</v>
      </c>
      <c r="E243" s="8" t="s">
        <v>341</v>
      </c>
      <c r="F243" s="8">
        <v>27.275500000000001</v>
      </c>
    </row>
    <row r="244" spans="1:6" ht="15" customHeight="1" x14ac:dyDescent="0.25">
      <c r="A244" s="8">
        <v>10898</v>
      </c>
      <c r="B244" s="8" t="s">
        <v>643</v>
      </c>
      <c r="C244" s="8" t="s">
        <v>196</v>
      </c>
      <c r="D244" s="8" t="s">
        <v>329</v>
      </c>
      <c r="E244" s="8" t="s">
        <v>330</v>
      </c>
      <c r="F244" s="8">
        <v>139.34819999999999</v>
      </c>
    </row>
    <row r="245" spans="1:6" ht="15" customHeight="1" x14ac:dyDescent="0.25">
      <c r="A245" s="8">
        <v>10016</v>
      </c>
      <c r="B245" s="8" t="s">
        <v>644</v>
      </c>
      <c r="C245" s="8" t="s">
        <v>332</v>
      </c>
      <c r="D245" s="8" t="s">
        <v>261</v>
      </c>
      <c r="E245" s="8" t="s">
        <v>324</v>
      </c>
      <c r="F245" s="8">
        <v>19639.501199999999</v>
      </c>
    </row>
    <row r="246" spans="1:6" ht="15" customHeight="1" x14ac:dyDescent="0.25">
      <c r="A246" s="8">
        <v>10633</v>
      </c>
      <c r="B246" s="8" t="s">
        <v>645</v>
      </c>
      <c r="C246" s="8" t="s">
        <v>200</v>
      </c>
      <c r="D246" s="8" t="s">
        <v>201</v>
      </c>
      <c r="E246" s="8" t="s">
        <v>377</v>
      </c>
      <c r="F246" s="8">
        <v>578.13620000000003</v>
      </c>
    </row>
    <row r="247" spans="1:6" ht="15" customHeight="1" x14ac:dyDescent="0.25">
      <c r="A247" s="8">
        <v>10840</v>
      </c>
      <c r="B247" s="8" t="s">
        <v>380</v>
      </c>
      <c r="C247" s="8" t="s">
        <v>176</v>
      </c>
      <c r="D247" s="8" t="s">
        <v>181</v>
      </c>
      <c r="E247" s="8" t="s">
        <v>475</v>
      </c>
      <c r="F247" s="8">
        <v>58.52</v>
      </c>
    </row>
    <row r="248" spans="1:6" ht="15" customHeight="1" x14ac:dyDescent="0.25">
      <c r="A248" s="8">
        <v>10534</v>
      </c>
      <c r="B248" s="8" t="s">
        <v>646</v>
      </c>
      <c r="C248" s="8" t="s">
        <v>647</v>
      </c>
      <c r="D248" s="8" t="s">
        <v>648</v>
      </c>
      <c r="E248" s="8" t="s">
        <v>649</v>
      </c>
      <c r="F248" s="8">
        <v>3924.3220000000001</v>
      </c>
    </row>
    <row r="249" spans="1:6" ht="15" customHeight="1" x14ac:dyDescent="0.25">
      <c r="A249" s="8">
        <v>10692</v>
      </c>
      <c r="B249" s="8" t="s">
        <v>650</v>
      </c>
      <c r="C249" s="8" t="s">
        <v>200</v>
      </c>
      <c r="D249" s="8" t="s">
        <v>201</v>
      </c>
      <c r="E249" s="8" t="s">
        <v>216</v>
      </c>
      <c r="F249" s="8">
        <v>183.3604</v>
      </c>
    </row>
    <row r="250" spans="1:6" ht="15" customHeight="1" x14ac:dyDescent="0.25">
      <c r="A250" s="8">
        <v>10705</v>
      </c>
      <c r="B250" s="8" t="s">
        <v>651</v>
      </c>
      <c r="C250" s="8" t="s">
        <v>200</v>
      </c>
      <c r="D250" s="8" t="s">
        <v>201</v>
      </c>
      <c r="E250" s="8" t="s">
        <v>377</v>
      </c>
      <c r="F250" s="8">
        <v>79.2166</v>
      </c>
    </row>
    <row r="251" spans="1:6" ht="15" customHeight="1" x14ac:dyDescent="0.25">
      <c r="A251" s="8">
        <v>10306</v>
      </c>
      <c r="B251" s="8" t="s">
        <v>652</v>
      </c>
      <c r="C251" s="8" t="s">
        <v>187</v>
      </c>
      <c r="D251" s="8" t="s">
        <v>177</v>
      </c>
      <c r="E251" s="8" t="s">
        <v>188</v>
      </c>
      <c r="F251" s="8">
        <v>896</v>
      </c>
    </row>
    <row r="252" spans="1:6" ht="15" customHeight="1" x14ac:dyDescent="0.25">
      <c r="A252" s="8">
        <v>11006</v>
      </c>
      <c r="B252" s="8" t="s">
        <v>653</v>
      </c>
      <c r="C252" s="8" t="s">
        <v>355</v>
      </c>
      <c r="D252" s="8" t="s">
        <v>279</v>
      </c>
      <c r="E252" s="8" t="s">
        <v>379</v>
      </c>
      <c r="F252" s="8">
        <v>63.9375</v>
      </c>
    </row>
    <row r="253" spans="1:6" ht="15" customHeight="1" x14ac:dyDescent="0.25">
      <c r="A253" s="8">
        <v>10567</v>
      </c>
      <c r="B253" s="8" t="s">
        <v>654</v>
      </c>
      <c r="C253" s="8" t="s">
        <v>585</v>
      </c>
      <c r="D253" s="8" t="s">
        <v>266</v>
      </c>
      <c r="E253" s="8" t="s">
        <v>655</v>
      </c>
      <c r="F253" s="8">
        <v>887</v>
      </c>
    </row>
    <row r="254" spans="1:6" ht="15" customHeight="1" x14ac:dyDescent="0.25">
      <c r="A254" s="8">
        <v>10212</v>
      </c>
      <c r="B254" s="8" t="s">
        <v>656</v>
      </c>
      <c r="C254" s="8" t="s">
        <v>180</v>
      </c>
      <c r="D254" s="8" t="s">
        <v>282</v>
      </c>
      <c r="E254" s="8" t="s">
        <v>657</v>
      </c>
      <c r="F254" s="8">
        <v>2290.3427999999999</v>
      </c>
    </row>
    <row r="255" spans="1:6" ht="15" customHeight="1" x14ac:dyDescent="0.25">
      <c r="A255" s="8">
        <v>10775</v>
      </c>
      <c r="B255" s="8" t="s">
        <v>658</v>
      </c>
      <c r="C255" s="8" t="s">
        <v>659</v>
      </c>
      <c r="D255" s="8" t="s">
        <v>209</v>
      </c>
      <c r="E255" s="8" t="s">
        <v>210</v>
      </c>
      <c r="F255" s="8">
        <v>1925072.8944000001</v>
      </c>
    </row>
    <row r="256" spans="1:6" ht="15" customHeight="1" x14ac:dyDescent="0.25">
      <c r="A256" s="8">
        <v>10394</v>
      </c>
      <c r="B256" s="8" t="s">
        <v>660</v>
      </c>
      <c r="C256" s="8" t="s">
        <v>661</v>
      </c>
      <c r="D256" s="8" t="s">
        <v>205</v>
      </c>
      <c r="E256" s="8" t="s">
        <v>219</v>
      </c>
      <c r="F256" s="8">
        <v>853320</v>
      </c>
    </row>
    <row r="257" spans="1:6" ht="15" customHeight="1" x14ac:dyDescent="0.25">
      <c r="A257" s="8">
        <v>10559</v>
      </c>
      <c r="B257" s="8" t="s">
        <v>662</v>
      </c>
      <c r="C257" s="8" t="s">
        <v>233</v>
      </c>
      <c r="D257" s="8" t="s">
        <v>266</v>
      </c>
      <c r="E257" s="8" t="s">
        <v>400</v>
      </c>
      <c r="F257" s="8">
        <v>98.117900000000006</v>
      </c>
    </row>
    <row r="258" spans="1:6" ht="15" customHeight="1" x14ac:dyDescent="0.25">
      <c r="A258" s="8">
        <v>10695</v>
      </c>
      <c r="B258" s="8" t="s">
        <v>663</v>
      </c>
      <c r="C258" s="8" t="s">
        <v>200</v>
      </c>
      <c r="D258" s="8" t="s">
        <v>201</v>
      </c>
      <c r="E258" s="8" t="s">
        <v>216</v>
      </c>
      <c r="F258" s="8">
        <v>178.09379999999999</v>
      </c>
    </row>
    <row r="259" spans="1:6" ht="15" customHeight="1" x14ac:dyDescent="0.25">
      <c r="A259" s="8">
        <v>11284</v>
      </c>
      <c r="B259" s="8" t="s">
        <v>664</v>
      </c>
      <c r="C259" s="8" t="s">
        <v>176</v>
      </c>
      <c r="D259" s="8" t="s">
        <v>326</v>
      </c>
      <c r="E259" s="8" t="s">
        <v>462</v>
      </c>
      <c r="F259" s="8">
        <v>141.29900000000001</v>
      </c>
    </row>
    <row r="260" spans="1:6" ht="15" customHeight="1" x14ac:dyDescent="0.25">
      <c r="A260" s="8">
        <v>11076</v>
      </c>
      <c r="B260" s="8" t="s">
        <v>665</v>
      </c>
      <c r="C260" s="8" t="s">
        <v>666</v>
      </c>
      <c r="D260" s="8" t="s">
        <v>266</v>
      </c>
      <c r="E260" s="8" t="s">
        <v>267</v>
      </c>
      <c r="F260" s="8">
        <v>19.517099999999999</v>
      </c>
    </row>
    <row r="261" spans="1:6" ht="15" customHeight="1" x14ac:dyDescent="0.25">
      <c r="A261" s="8">
        <v>10122</v>
      </c>
      <c r="B261" s="8" t="s">
        <v>667</v>
      </c>
      <c r="C261" s="8" t="s">
        <v>184</v>
      </c>
      <c r="D261" s="8" t="s">
        <v>181</v>
      </c>
      <c r="E261" s="8" t="s">
        <v>289</v>
      </c>
      <c r="F261" s="8">
        <v>145.16999999999999</v>
      </c>
    </row>
    <row r="262" spans="1:6" ht="15" customHeight="1" x14ac:dyDescent="0.25">
      <c r="A262" s="8">
        <v>10353</v>
      </c>
      <c r="B262" s="8" t="s">
        <v>668</v>
      </c>
      <c r="C262" s="8" t="s">
        <v>272</v>
      </c>
      <c r="D262" s="8" t="s">
        <v>177</v>
      </c>
      <c r="E262" s="8" t="s">
        <v>275</v>
      </c>
      <c r="F262" s="8">
        <v>8640</v>
      </c>
    </row>
    <row r="263" spans="1:6" ht="15" customHeight="1" x14ac:dyDescent="0.25">
      <c r="A263" s="8">
        <v>11067</v>
      </c>
      <c r="B263" s="8" t="s">
        <v>669</v>
      </c>
      <c r="C263" s="8" t="s">
        <v>233</v>
      </c>
      <c r="D263" s="8" t="s">
        <v>279</v>
      </c>
      <c r="E263" s="8" t="s">
        <v>670</v>
      </c>
      <c r="F263" s="8">
        <v>6353.0711000000001</v>
      </c>
    </row>
    <row r="264" spans="1:6" ht="15" customHeight="1" x14ac:dyDescent="0.25">
      <c r="A264" s="8">
        <v>10221</v>
      </c>
      <c r="B264" s="8" t="s">
        <v>671</v>
      </c>
      <c r="C264" s="8" t="s">
        <v>233</v>
      </c>
      <c r="D264" s="8" t="s">
        <v>282</v>
      </c>
      <c r="E264" s="8" t="s">
        <v>672</v>
      </c>
      <c r="F264" s="8">
        <v>112.9128</v>
      </c>
    </row>
    <row r="265" spans="1:6" ht="15" customHeight="1" x14ac:dyDescent="0.25">
      <c r="A265" s="8">
        <v>10548</v>
      </c>
      <c r="B265" s="8" t="s">
        <v>673</v>
      </c>
      <c r="C265" s="8" t="s">
        <v>674</v>
      </c>
      <c r="D265" s="8" t="s">
        <v>675</v>
      </c>
      <c r="E265" s="8" t="s">
        <v>676</v>
      </c>
      <c r="F265" s="8">
        <v>52570</v>
      </c>
    </row>
    <row r="266" spans="1:6" ht="15" customHeight="1" x14ac:dyDescent="0.25">
      <c r="A266" s="8">
        <v>10668</v>
      </c>
      <c r="B266" s="8" t="s">
        <v>677</v>
      </c>
      <c r="C266" s="8" t="s">
        <v>200</v>
      </c>
      <c r="D266" s="8" t="s">
        <v>201</v>
      </c>
      <c r="E266" s="8" t="s">
        <v>377</v>
      </c>
      <c r="F266" s="8">
        <v>236.90880000000001</v>
      </c>
    </row>
    <row r="267" spans="1:6" ht="15" customHeight="1" x14ac:dyDescent="0.25">
      <c r="A267" s="8">
        <v>10735</v>
      </c>
      <c r="B267" s="8" t="s">
        <v>678</v>
      </c>
      <c r="C267" s="8" t="s">
        <v>180</v>
      </c>
      <c r="D267" s="8" t="s">
        <v>251</v>
      </c>
      <c r="E267" s="8" t="s">
        <v>581</v>
      </c>
      <c r="F267" s="8">
        <v>5767.2759999999998</v>
      </c>
    </row>
    <row r="268" spans="1:6" ht="15" customHeight="1" x14ac:dyDescent="0.25">
      <c r="A268" s="8">
        <v>10276</v>
      </c>
      <c r="B268" s="8" t="s">
        <v>679</v>
      </c>
      <c r="C268" s="8" t="s">
        <v>187</v>
      </c>
      <c r="D268" s="8" t="s">
        <v>177</v>
      </c>
      <c r="E268" s="8" t="s">
        <v>425</v>
      </c>
      <c r="F268" s="8">
        <v>3464.413</v>
      </c>
    </row>
    <row r="269" spans="1:6" ht="15" customHeight="1" x14ac:dyDescent="0.25">
      <c r="A269" s="8">
        <v>11077</v>
      </c>
      <c r="B269" s="8" t="s">
        <v>680</v>
      </c>
      <c r="C269" s="8" t="s">
        <v>233</v>
      </c>
      <c r="D269" s="8" t="s">
        <v>266</v>
      </c>
      <c r="E269" s="8" t="s">
        <v>588</v>
      </c>
      <c r="F269" s="8">
        <v>81.4251</v>
      </c>
    </row>
    <row r="270" spans="1:6" ht="15" customHeight="1" x14ac:dyDescent="0.25">
      <c r="A270" s="8">
        <v>11184</v>
      </c>
      <c r="B270" s="8" t="s">
        <v>681</v>
      </c>
      <c r="C270" s="8" t="s">
        <v>243</v>
      </c>
      <c r="D270" s="8" t="s">
        <v>251</v>
      </c>
      <c r="E270" s="8" t="s">
        <v>449</v>
      </c>
      <c r="F270" s="8">
        <v>118.8835</v>
      </c>
    </row>
    <row r="271" spans="1:6" ht="15" customHeight="1" x14ac:dyDescent="0.25">
      <c r="A271" s="8">
        <v>11012</v>
      </c>
      <c r="B271" s="8" t="s">
        <v>682</v>
      </c>
      <c r="C271" s="8" t="s">
        <v>312</v>
      </c>
      <c r="D271" s="8" t="s">
        <v>266</v>
      </c>
      <c r="E271" s="8" t="s">
        <v>588</v>
      </c>
      <c r="F271" s="8">
        <v>42.704500000000003</v>
      </c>
    </row>
    <row r="272" spans="1:6" ht="15" customHeight="1" x14ac:dyDescent="0.25">
      <c r="A272" s="8">
        <v>11015</v>
      </c>
      <c r="B272" s="8" t="s">
        <v>683</v>
      </c>
      <c r="C272" s="8"/>
      <c r="D272" s="8" t="s">
        <v>266</v>
      </c>
      <c r="E272" s="8" t="s">
        <v>360</v>
      </c>
      <c r="F272" s="8">
        <v>16.7727</v>
      </c>
    </row>
    <row r="273" spans="1:6" ht="15" customHeight="1" x14ac:dyDescent="0.25">
      <c r="A273" s="8">
        <v>10601</v>
      </c>
      <c r="B273" s="8" t="s">
        <v>684</v>
      </c>
      <c r="C273" s="8" t="s">
        <v>233</v>
      </c>
      <c r="D273" s="8" t="s">
        <v>266</v>
      </c>
      <c r="E273" s="8" t="s">
        <v>400</v>
      </c>
      <c r="F273" s="8">
        <v>505.60289999999998</v>
      </c>
    </row>
    <row r="274" spans="1:6" ht="15" customHeight="1" x14ac:dyDescent="0.25">
      <c r="A274" s="8">
        <v>10149</v>
      </c>
      <c r="B274" s="8" t="s">
        <v>685</v>
      </c>
      <c r="C274" s="8" t="s">
        <v>212</v>
      </c>
      <c r="D274" s="8" t="s">
        <v>181</v>
      </c>
      <c r="E274" s="8" t="s">
        <v>475</v>
      </c>
      <c r="F274" s="8">
        <v>145.298</v>
      </c>
    </row>
    <row r="275" spans="1:6" ht="15" customHeight="1" x14ac:dyDescent="0.25">
      <c r="A275" s="8">
        <v>10591</v>
      </c>
      <c r="B275" s="8" t="s">
        <v>686</v>
      </c>
      <c r="C275" s="8" t="s">
        <v>243</v>
      </c>
      <c r="D275" s="8" t="s">
        <v>266</v>
      </c>
      <c r="E275" s="8" t="s">
        <v>586</v>
      </c>
      <c r="F275" s="8">
        <v>736.3184</v>
      </c>
    </row>
    <row r="276" spans="1:6" ht="15" customHeight="1" x14ac:dyDescent="0.25">
      <c r="A276" s="8">
        <v>10009</v>
      </c>
      <c r="B276" s="8" t="s">
        <v>687</v>
      </c>
      <c r="C276" s="8" t="s">
        <v>332</v>
      </c>
      <c r="D276" s="8" t="s">
        <v>261</v>
      </c>
      <c r="E276" s="8" t="s">
        <v>324</v>
      </c>
      <c r="F276" s="8">
        <v>46785.6518</v>
      </c>
    </row>
    <row r="277" spans="1:6" ht="15" customHeight="1" x14ac:dyDescent="0.25">
      <c r="A277" s="8">
        <v>10939</v>
      </c>
      <c r="B277" s="8" t="s">
        <v>688</v>
      </c>
      <c r="C277" s="8" t="s">
        <v>226</v>
      </c>
      <c r="D277" s="8" t="s">
        <v>227</v>
      </c>
      <c r="E277" s="8" t="s">
        <v>405</v>
      </c>
      <c r="F277" s="8">
        <v>375.6576</v>
      </c>
    </row>
    <row r="278" spans="1:6" ht="15" customHeight="1" x14ac:dyDescent="0.25">
      <c r="A278" s="8">
        <v>10004</v>
      </c>
      <c r="B278" s="8" t="s">
        <v>689</v>
      </c>
      <c r="C278" s="8" t="s">
        <v>690</v>
      </c>
      <c r="D278" s="8" t="s">
        <v>261</v>
      </c>
      <c r="E278" s="8" t="s">
        <v>324</v>
      </c>
      <c r="F278" s="8">
        <v>212320</v>
      </c>
    </row>
    <row r="279" spans="1:6" ht="15" customHeight="1" x14ac:dyDescent="0.25">
      <c r="A279" s="8">
        <v>10602</v>
      </c>
      <c r="B279" s="8" t="s">
        <v>691</v>
      </c>
      <c r="C279" s="8" t="s">
        <v>575</v>
      </c>
      <c r="D279" s="8" t="s">
        <v>266</v>
      </c>
      <c r="E279" s="8" t="s">
        <v>692</v>
      </c>
      <c r="F279" s="8">
        <v>1990</v>
      </c>
    </row>
    <row r="280" spans="1:6" ht="15" customHeight="1" x14ac:dyDescent="0.25">
      <c r="A280" s="8">
        <v>10664</v>
      </c>
      <c r="B280" s="8" t="s">
        <v>693</v>
      </c>
      <c r="C280" s="8" t="s">
        <v>200</v>
      </c>
      <c r="D280" s="8" t="s">
        <v>201</v>
      </c>
      <c r="E280" s="8" t="s">
        <v>285</v>
      </c>
      <c r="F280" s="8">
        <v>341.2439</v>
      </c>
    </row>
    <row r="281" spans="1:6" ht="15" customHeight="1" x14ac:dyDescent="0.25">
      <c r="A281" s="8">
        <v>10183</v>
      </c>
      <c r="B281" s="8" t="s">
        <v>694</v>
      </c>
      <c r="C281" s="8" t="s">
        <v>212</v>
      </c>
      <c r="D281" s="8" t="s">
        <v>282</v>
      </c>
      <c r="E281" s="8" t="s">
        <v>695</v>
      </c>
      <c r="F281" s="8">
        <v>41.160299999999999</v>
      </c>
    </row>
    <row r="282" spans="1:6" ht="15" customHeight="1" x14ac:dyDescent="0.25">
      <c r="A282" s="8">
        <v>10645</v>
      </c>
      <c r="B282" s="8" t="s">
        <v>696</v>
      </c>
      <c r="C282" s="8" t="s">
        <v>200</v>
      </c>
      <c r="D282" s="8" t="s">
        <v>201</v>
      </c>
      <c r="E282" s="8" t="s">
        <v>285</v>
      </c>
      <c r="F282" s="8">
        <v>51.5441</v>
      </c>
    </row>
    <row r="283" spans="1:6" ht="15" customHeight="1" x14ac:dyDescent="0.25">
      <c r="A283" s="8">
        <v>10458</v>
      </c>
      <c r="B283" s="8" t="s">
        <v>697</v>
      </c>
      <c r="C283" s="8" t="s">
        <v>226</v>
      </c>
      <c r="D283" s="8" t="s">
        <v>227</v>
      </c>
      <c r="E283" s="8" t="s">
        <v>698</v>
      </c>
      <c r="F283" s="8">
        <v>106.843</v>
      </c>
    </row>
    <row r="284" spans="1:6" ht="15" customHeight="1" x14ac:dyDescent="0.25">
      <c r="A284" s="8">
        <v>10299</v>
      </c>
      <c r="B284" s="8" t="s">
        <v>699</v>
      </c>
      <c r="C284" s="8" t="s">
        <v>176</v>
      </c>
      <c r="D284" s="8" t="s">
        <v>177</v>
      </c>
      <c r="E284" s="8" t="s">
        <v>273</v>
      </c>
      <c r="F284" s="8">
        <v>4040</v>
      </c>
    </row>
    <row r="285" spans="1:6" ht="15" customHeight="1" x14ac:dyDescent="0.25">
      <c r="A285" s="8">
        <v>11079</v>
      </c>
      <c r="B285" s="8" t="s">
        <v>700</v>
      </c>
      <c r="C285" s="8" t="s">
        <v>701</v>
      </c>
      <c r="D285" s="8" t="s">
        <v>266</v>
      </c>
      <c r="E285" s="8" t="s">
        <v>267</v>
      </c>
      <c r="F285" s="8">
        <v>18567.641299999999</v>
      </c>
    </row>
    <row r="286" spans="1:6" ht="15" customHeight="1" x14ac:dyDescent="0.25">
      <c r="A286" s="8">
        <v>10439</v>
      </c>
      <c r="B286" s="8" t="s">
        <v>702</v>
      </c>
      <c r="C286" s="8" t="s">
        <v>226</v>
      </c>
      <c r="D286" s="8" t="s">
        <v>227</v>
      </c>
      <c r="E286" s="8" t="s">
        <v>405</v>
      </c>
      <c r="F286" s="8">
        <v>1067505.425</v>
      </c>
    </row>
    <row r="287" spans="1:6" ht="15" customHeight="1" x14ac:dyDescent="0.25">
      <c r="A287" s="8">
        <v>10311</v>
      </c>
      <c r="B287" s="8" t="s">
        <v>703</v>
      </c>
      <c r="C287" s="8" t="s">
        <v>395</v>
      </c>
      <c r="D287" s="8" t="s">
        <v>177</v>
      </c>
      <c r="E287" s="8" t="s">
        <v>273</v>
      </c>
      <c r="F287" s="8">
        <v>306.26830000000001</v>
      </c>
    </row>
    <row r="288" spans="1:6" ht="15" customHeight="1" x14ac:dyDescent="0.25">
      <c r="A288" s="8">
        <v>10359</v>
      </c>
      <c r="B288" s="8" t="s">
        <v>704</v>
      </c>
      <c r="C288" s="8" t="s">
        <v>176</v>
      </c>
      <c r="D288" s="8" t="s">
        <v>177</v>
      </c>
      <c r="E288" s="8" t="s">
        <v>425</v>
      </c>
      <c r="F288" s="8">
        <v>9035</v>
      </c>
    </row>
    <row r="289" spans="1:6" ht="15" customHeight="1" x14ac:dyDescent="0.25">
      <c r="A289" s="8">
        <v>10177</v>
      </c>
      <c r="B289" s="8" t="s">
        <v>705</v>
      </c>
      <c r="C289" s="8" t="s">
        <v>176</v>
      </c>
      <c r="D289" s="8" t="s">
        <v>282</v>
      </c>
      <c r="E289" s="8" t="s">
        <v>544</v>
      </c>
      <c r="F289" s="8">
        <v>4200</v>
      </c>
    </row>
    <row r="290" spans="1:6" ht="15" customHeight="1" x14ac:dyDescent="0.25">
      <c r="A290" s="8">
        <v>10391</v>
      </c>
      <c r="B290" s="8" t="s">
        <v>706</v>
      </c>
      <c r="C290" s="8" t="s">
        <v>661</v>
      </c>
      <c r="D290" s="8" t="s">
        <v>205</v>
      </c>
      <c r="E290" s="8" t="s">
        <v>707</v>
      </c>
      <c r="F290" s="8">
        <v>926500</v>
      </c>
    </row>
    <row r="291" spans="1:6" ht="15" customHeight="1" x14ac:dyDescent="0.25">
      <c r="A291" s="8">
        <v>10249</v>
      </c>
      <c r="B291" s="8" t="s">
        <v>708</v>
      </c>
      <c r="C291" s="8" t="s">
        <v>709</v>
      </c>
      <c r="D291" s="8" t="s">
        <v>177</v>
      </c>
      <c r="E291" s="8" t="s">
        <v>710</v>
      </c>
      <c r="F291" s="8">
        <v>2886.0733</v>
      </c>
    </row>
    <row r="292" spans="1:6" ht="15" customHeight="1" x14ac:dyDescent="0.25">
      <c r="A292" s="8">
        <v>10152</v>
      </c>
      <c r="B292" s="9" t="s">
        <v>711</v>
      </c>
      <c r="C292" s="8" t="s">
        <v>530</v>
      </c>
      <c r="D292" s="8" t="s">
        <v>181</v>
      </c>
      <c r="E292" s="8" t="s">
        <v>185</v>
      </c>
      <c r="F292" s="8">
        <v>6960</v>
      </c>
    </row>
    <row r="293" spans="1:6" ht="15" customHeight="1" x14ac:dyDescent="0.25">
      <c r="A293" s="8">
        <v>10702</v>
      </c>
      <c r="B293" s="8" t="s">
        <v>712</v>
      </c>
      <c r="C293" s="8" t="s">
        <v>200</v>
      </c>
      <c r="D293" s="8" t="s">
        <v>201</v>
      </c>
      <c r="E293" s="8" t="s">
        <v>713</v>
      </c>
      <c r="F293" s="8">
        <v>469.15690000000001</v>
      </c>
    </row>
    <row r="294" spans="1:6" ht="15" customHeight="1" x14ac:dyDescent="0.25">
      <c r="A294" s="8">
        <v>10168</v>
      </c>
      <c r="B294" s="8" t="s">
        <v>714</v>
      </c>
      <c r="C294" s="8" t="s">
        <v>212</v>
      </c>
      <c r="D294" s="8" t="s">
        <v>282</v>
      </c>
      <c r="E294" s="8" t="s">
        <v>715</v>
      </c>
      <c r="F294" s="8">
        <v>1229.6586</v>
      </c>
    </row>
    <row r="295" spans="1:6" ht="15" customHeight="1" x14ac:dyDescent="0.25">
      <c r="A295" s="8">
        <v>10111</v>
      </c>
      <c r="B295" s="8" t="s">
        <v>716</v>
      </c>
      <c r="C295" s="8" t="s">
        <v>180</v>
      </c>
      <c r="D295" s="8" t="s">
        <v>181</v>
      </c>
      <c r="E295" s="8" t="s">
        <v>470</v>
      </c>
      <c r="F295" s="8">
        <v>10556.3</v>
      </c>
    </row>
    <row r="296" spans="1:6" ht="15" customHeight="1" x14ac:dyDescent="0.25">
      <c r="A296" s="8">
        <v>10200</v>
      </c>
      <c r="B296" s="8" t="s">
        <v>717</v>
      </c>
      <c r="C296" s="8" t="s">
        <v>180</v>
      </c>
      <c r="D296" s="8" t="s">
        <v>282</v>
      </c>
      <c r="E296" s="8" t="s">
        <v>546</v>
      </c>
      <c r="F296" s="8">
        <v>2753.9413</v>
      </c>
    </row>
    <row r="297" spans="1:6" ht="15" customHeight="1" x14ac:dyDescent="0.25">
      <c r="A297" s="8">
        <v>11731</v>
      </c>
      <c r="B297" s="8" t="s">
        <v>718</v>
      </c>
      <c r="C297" s="8" t="s">
        <v>226</v>
      </c>
      <c r="D297" s="8" t="s">
        <v>227</v>
      </c>
      <c r="E297" s="8" t="s">
        <v>719</v>
      </c>
      <c r="F297" s="8">
        <v>1083.8119999999999</v>
      </c>
    </row>
    <row r="298" spans="1:6" ht="15" customHeight="1" x14ac:dyDescent="0.25">
      <c r="A298" s="8">
        <v>10777</v>
      </c>
      <c r="B298" s="8" t="s">
        <v>720</v>
      </c>
      <c r="C298" s="8" t="s">
        <v>319</v>
      </c>
      <c r="D298" s="8" t="s">
        <v>209</v>
      </c>
      <c r="E298" s="8" t="s">
        <v>210</v>
      </c>
      <c r="F298" s="8">
        <v>146877.58720000001</v>
      </c>
    </row>
    <row r="299" spans="1:6" ht="15" customHeight="1" x14ac:dyDescent="0.25">
      <c r="A299" s="8">
        <v>10099</v>
      </c>
      <c r="B299" s="8" t="s">
        <v>721</v>
      </c>
      <c r="C299" s="8" t="s">
        <v>722</v>
      </c>
      <c r="D299" s="8" t="s">
        <v>340</v>
      </c>
      <c r="E299" s="8" t="s">
        <v>723</v>
      </c>
      <c r="F299" s="8">
        <v>32932</v>
      </c>
    </row>
    <row r="300" spans="1:6" ht="15" customHeight="1" x14ac:dyDescent="0.25">
      <c r="A300" s="8">
        <v>10295</v>
      </c>
      <c r="B300" s="8" t="s">
        <v>724</v>
      </c>
      <c r="C300" s="8" t="s">
        <v>176</v>
      </c>
      <c r="D300" s="8" t="s">
        <v>725</v>
      </c>
      <c r="E300" s="8" t="s">
        <v>726</v>
      </c>
      <c r="F300" s="8">
        <v>21910</v>
      </c>
    </row>
    <row r="301" spans="1:6" ht="15" customHeight="1" x14ac:dyDescent="0.25">
      <c r="A301" s="8">
        <v>10456</v>
      </c>
      <c r="B301" s="8" t="s">
        <v>727</v>
      </c>
      <c r="C301" s="8" t="s">
        <v>226</v>
      </c>
      <c r="D301" s="8" t="s">
        <v>227</v>
      </c>
      <c r="E301" s="8" t="s">
        <v>228</v>
      </c>
      <c r="F301" s="8">
        <v>2309.7619</v>
      </c>
    </row>
    <row r="302" spans="1:6" ht="15" customHeight="1" x14ac:dyDescent="0.25">
      <c r="A302" s="8">
        <v>10166</v>
      </c>
      <c r="B302" s="8" t="s">
        <v>728</v>
      </c>
      <c r="C302" s="8" t="s">
        <v>729</v>
      </c>
      <c r="D302" s="8" t="s">
        <v>282</v>
      </c>
      <c r="E302" s="8" t="s">
        <v>730</v>
      </c>
      <c r="F302" s="8">
        <v>131.7988</v>
      </c>
    </row>
    <row r="303" spans="1:6" ht="15" customHeight="1" x14ac:dyDescent="0.25">
      <c r="A303" s="8">
        <v>10888</v>
      </c>
      <c r="B303" s="8" t="s">
        <v>731</v>
      </c>
      <c r="C303" s="8" t="s">
        <v>187</v>
      </c>
      <c r="D303" s="8" t="s">
        <v>177</v>
      </c>
      <c r="E303" s="8" t="s">
        <v>454</v>
      </c>
      <c r="F303" s="8">
        <v>260.86020000000002</v>
      </c>
    </row>
    <row r="304" spans="1:6" ht="15" customHeight="1" x14ac:dyDescent="0.25">
      <c r="A304" s="8">
        <v>10453</v>
      </c>
      <c r="B304" s="8" t="s">
        <v>732</v>
      </c>
      <c r="C304" s="8" t="s">
        <v>478</v>
      </c>
      <c r="D304" s="8" t="s">
        <v>227</v>
      </c>
      <c r="E304" s="8" t="s">
        <v>733</v>
      </c>
      <c r="F304" s="8">
        <v>36.1785</v>
      </c>
    </row>
    <row r="305" spans="1:6" ht="15" customHeight="1" x14ac:dyDescent="0.25">
      <c r="A305" s="8">
        <v>10566</v>
      </c>
      <c r="B305" s="8" t="s">
        <v>734</v>
      </c>
      <c r="C305" s="8" t="s">
        <v>585</v>
      </c>
      <c r="D305" s="8" t="s">
        <v>266</v>
      </c>
      <c r="E305" s="8" t="s">
        <v>586</v>
      </c>
      <c r="F305" s="8">
        <v>9325</v>
      </c>
    </row>
    <row r="306" spans="1:6" ht="15" customHeight="1" x14ac:dyDescent="0.25">
      <c r="A306" s="8">
        <v>11302</v>
      </c>
      <c r="B306" s="8" t="s">
        <v>735</v>
      </c>
      <c r="C306" s="8" t="s">
        <v>233</v>
      </c>
      <c r="D306" s="8" t="s">
        <v>266</v>
      </c>
      <c r="E306" s="8" t="s">
        <v>400</v>
      </c>
      <c r="F306" s="8">
        <v>30803.624800000001</v>
      </c>
    </row>
    <row r="307" spans="1:6" ht="15" customHeight="1" x14ac:dyDescent="0.25">
      <c r="A307" s="8">
        <v>10063</v>
      </c>
      <c r="B307" s="8" t="s">
        <v>736</v>
      </c>
      <c r="C307" s="8" t="s">
        <v>297</v>
      </c>
      <c r="D307" s="8" t="s">
        <v>197</v>
      </c>
      <c r="E307" s="8" t="s">
        <v>737</v>
      </c>
      <c r="F307" s="8">
        <v>73.576899999999995</v>
      </c>
    </row>
    <row r="308" spans="1:6" ht="15" customHeight="1" x14ac:dyDescent="0.25">
      <c r="A308" s="8">
        <v>10677</v>
      </c>
      <c r="B308" s="8" t="s">
        <v>738</v>
      </c>
      <c r="C308" s="8" t="s">
        <v>200</v>
      </c>
      <c r="D308" s="8" t="s">
        <v>201</v>
      </c>
      <c r="E308" s="8" t="s">
        <v>216</v>
      </c>
      <c r="F308" s="8">
        <v>558.88649999999996</v>
      </c>
    </row>
    <row r="309" spans="1:6" ht="15" customHeight="1" x14ac:dyDescent="0.25">
      <c r="A309" s="8">
        <v>10457</v>
      </c>
      <c r="B309" s="8" t="s">
        <v>739</v>
      </c>
      <c r="C309" s="8" t="s">
        <v>226</v>
      </c>
      <c r="D309" s="8" t="s">
        <v>227</v>
      </c>
      <c r="E309" s="8" t="s">
        <v>719</v>
      </c>
      <c r="F309" s="8">
        <v>483.7</v>
      </c>
    </row>
    <row r="310" spans="1:6" ht="15" customHeight="1" x14ac:dyDescent="0.25">
      <c r="A310" s="8">
        <v>10709</v>
      </c>
      <c r="B310" s="8" t="s">
        <v>740</v>
      </c>
      <c r="C310" s="8" t="s">
        <v>200</v>
      </c>
      <c r="D310" s="8" t="s">
        <v>201</v>
      </c>
      <c r="E310" s="8" t="s">
        <v>216</v>
      </c>
      <c r="F310" s="8">
        <v>238.8681</v>
      </c>
    </row>
    <row r="311" spans="1:6" ht="15" customHeight="1" x14ac:dyDescent="0.25">
      <c r="A311" s="8">
        <v>11110</v>
      </c>
      <c r="B311" s="8" t="s">
        <v>741</v>
      </c>
      <c r="C311" s="8" t="s">
        <v>243</v>
      </c>
      <c r="D311" s="8" t="s">
        <v>326</v>
      </c>
      <c r="E311" s="8" t="s">
        <v>742</v>
      </c>
      <c r="F311" s="8">
        <v>15.7006</v>
      </c>
    </row>
    <row r="312" spans="1:6" ht="15" customHeight="1" x14ac:dyDescent="0.25">
      <c r="A312" s="8">
        <v>10550</v>
      </c>
      <c r="B312" s="8" t="s">
        <v>743</v>
      </c>
      <c r="C312" s="8" t="s">
        <v>553</v>
      </c>
      <c r="D312" s="8" t="s">
        <v>266</v>
      </c>
      <c r="E312" s="8" t="s">
        <v>267</v>
      </c>
      <c r="F312" s="8">
        <v>2858</v>
      </c>
    </row>
    <row r="313" spans="1:6" ht="15" customHeight="1" x14ac:dyDescent="0.25">
      <c r="A313" s="8">
        <v>10473</v>
      </c>
      <c r="B313" s="8" t="s">
        <v>744</v>
      </c>
      <c r="C313" s="8" t="s">
        <v>504</v>
      </c>
      <c r="D313" s="8" t="s">
        <v>320</v>
      </c>
      <c r="E313" s="8" t="s">
        <v>745</v>
      </c>
      <c r="F313" s="8">
        <v>3275</v>
      </c>
    </row>
    <row r="314" spans="1:6" ht="15" customHeight="1" x14ac:dyDescent="0.25">
      <c r="A314" s="8">
        <v>11716</v>
      </c>
      <c r="B314" s="8" t="s">
        <v>746</v>
      </c>
      <c r="C314" s="8" t="s">
        <v>200</v>
      </c>
      <c r="D314" s="8" t="s">
        <v>213</v>
      </c>
      <c r="E314" s="8" t="s">
        <v>583</v>
      </c>
      <c r="F314" s="8">
        <v>72</v>
      </c>
    </row>
    <row r="315" spans="1:6" ht="15" customHeight="1" x14ac:dyDescent="0.25">
      <c r="A315" s="8">
        <v>10766</v>
      </c>
      <c r="B315" s="8" t="s">
        <v>747</v>
      </c>
      <c r="C315" s="8" t="s">
        <v>748</v>
      </c>
      <c r="D315" s="8" t="s">
        <v>209</v>
      </c>
      <c r="E315" s="8" t="s">
        <v>749</v>
      </c>
      <c r="F315" s="8">
        <v>9986.3464000000004</v>
      </c>
    </row>
    <row r="316" spans="1:6" ht="15" customHeight="1" x14ac:dyDescent="0.25">
      <c r="A316" s="8">
        <v>10734</v>
      </c>
      <c r="B316" s="8" t="s">
        <v>750</v>
      </c>
      <c r="C316" s="8" t="s">
        <v>627</v>
      </c>
      <c r="D316" s="8" t="s">
        <v>251</v>
      </c>
      <c r="E316" s="8" t="s">
        <v>308</v>
      </c>
      <c r="F316" s="8">
        <v>2415.1977000000002</v>
      </c>
    </row>
    <row r="317" spans="1:6" ht="15" customHeight="1" x14ac:dyDescent="0.25">
      <c r="A317" s="8">
        <v>10569</v>
      </c>
      <c r="B317" s="8" t="s">
        <v>751</v>
      </c>
      <c r="C317" s="8" t="s">
        <v>233</v>
      </c>
      <c r="D317" s="8" t="s">
        <v>266</v>
      </c>
      <c r="E317" s="8" t="s">
        <v>400</v>
      </c>
      <c r="F317" s="8">
        <v>527.72199999999998</v>
      </c>
    </row>
    <row r="318" spans="1:6" ht="15" customHeight="1" x14ac:dyDescent="0.25">
      <c r="A318" s="8">
        <v>10805</v>
      </c>
      <c r="B318" s="8" t="s">
        <v>752</v>
      </c>
      <c r="C318" s="8" t="s">
        <v>196</v>
      </c>
      <c r="D318" s="8" t="s">
        <v>197</v>
      </c>
      <c r="E318" s="8" t="s">
        <v>198</v>
      </c>
      <c r="F318" s="8">
        <v>80.647300000000001</v>
      </c>
    </row>
    <row r="319" spans="1:6" ht="15" customHeight="1" x14ac:dyDescent="0.25">
      <c r="A319" s="8">
        <v>11599</v>
      </c>
      <c r="B319" s="8" t="s">
        <v>753</v>
      </c>
      <c r="C319" s="8" t="s">
        <v>482</v>
      </c>
      <c r="D319" s="8" t="s">
        <v>266</v>
      </c>
      <c r="E319" s="8" t="s">
        <v>754</v>
      </c>
      <c r="F319" s="8">
        <v>1.5</v>
      </c>
    </row>
    <row r="320" spans="1:6" ht="15" customHeight="1" x14ac:dyDescent="0.25">
      <c r="A320" s="8">
        <v>10246</v>
      </c>
      <c r="B320" s="8" t="s">
        <v>755</v>
      </c>
      <c r="C320" s="8" t="s">
        <v>756</v>
      </c>
      <c r="D320" s="8" t="s">
        <v>177</v>
      </c>
      <c r="E320" s="8" t="s">
        <v>178</v>
      </c>
      <c r="F320" s="8">
        <v>22362.5</v>
      </c>
    </row>
    <row r="321" spans="1:6" ht="15" customHeight="1" x14ac:dyDescent="0.25">
      <c r="A321" s="8">
        <v>10772</v>
      </c>
      <c r="B321" s="8" t="s">
        <v>757</v>
      </c>
      <c r="C321" s="8" t="s">
        <v>293</v>
      </c>
      <c r="D321" s="8" t="s">
        <v>209</v>
      </c>
      <c r="E321" s="8" t="s">
        <v>749</v>
      </c>
      <c r="F321" s="8">
        <v>5700</v>
      </c>
    </row>
    <row r="322" spans="1:6" ht="15" customHeight="1" x14ac:dyDescent="0.25">
      <c r="A322" s="8">
        <v>10795</v>
      </c>
      <c r="B322" s="8" t="s">
        <v>758</v>
      </c>
      <c r="C322" s="8" t="s">
        <v>196</v>
      </c>
      <c r="D322" s="8" t="s">
        <v>197</v>
      </c>
      <c r="E322" s="8" t="s">
        <v>298</v>
      </c>
      <c r="F322" s="8">
        <v>23.449400000000001</v>
      </c>
    </row>
    <row r="323" spans="1:6" ht="15" customHeight="1" x14ac:dyDescent="0.25">
      <c r="A323" s="8">
        <v>11094</v>
      </c>
      <c r="B323" s="8" t="s">
        <v>759</v>
      </c>
      <c r="C323" s="8" t="s">
        <v>312</v>
      </c>
      <c r="D323" s="8" t="s">
        <v>266</v>
      </c>
      <c r="E323" s="8" t="s">
        <v>360</v>
      </c>
      <c r="F323" s="8">
        <v>23.6282</v>
      </c>
    </row>
    <row r="324" spans="1:6" ht="15" customHeight="1" x14ac:dyDescent="0.25">
      <c r="A324" s="8">
        <v>10806</v>
      </c>
      <c r="B324" s="8" t="s">
        <v>760</v>
      </c>
      <c r="C324" s="8" t="s">
        <v>196</v>
      </c>
      <c r="D324" s="8" t="s">
        <v>197</v>
      </c>
      <c r="E324" s="8" t="s">
        <v>761</v>
      </c>
      <c r="F324" s="8">
        <v>107.3524</v>
      </c>
    </row>
    <row r="325" spans="1:6" ht="15" customHeight="1" x14ac:dyDescent="0.25">
      <c r="A325" s="8">
        <v>10018</v>
      </c>
      <c r="B325" s="8" t="s">
        <v>762</v>
      </c>
      <c r="C325" s="8" t="s">
        <v>332</v>
      </c>
      <c r="D325" s="8" t="s">
        <v>261</v>
      </c>
      <c r="E325" s="8" t="s">
        <v>324</v>
      </c>
      <c r="F325" s="8">
        <v>46.078099999999999</v>
      </c>
    </row>
    <row r="326" spans="1:6" ht="15" customHeight="1" x14ac:dyDescent="0.25">
      <c r="A326" s="8">
        <v>11047</v>
      </c>
      <c r="B326" s="8" t="s">
        <v>763</v>
      </c>
      <c r="C326" s="8" t="s">
        <v>212</v>
      </c>
      <c r="D326" s="8" t="s">
        <v>266</v>
      </c>
      <c r="E326" s="8" t="s">
        <v>267</v>
      </c>
      <c r="F326" s="8">
        <v>1355.6936000000001</v>
      </c>
    </row>
    <row r="327" spans="1:6" ht="15" customHeight="1" x14ac:dyDescent="0.25">
      <c r="A327" s="8">
        <v>10699</v>
      </c>
      <c r="B327" s="8" t="s">
        <v>764</v>
      </c>
      <c r="C327" s="8" t="s">
        <v>200</v>
      </c>
      <c r="D327" s="8" t="s">
        <v>201</v>
      </c>
      <c r="E327" s="8" t="s">
        <v>216</v>
      </c>
      <c r="F327" s="8">
        <v>183.99250000000001</v>
      </c>
    </row>
    <row r="328" spans="1:6" ht="15" customHeight="1" x14ac:dyDescent="0.25">
      <c r="A328" s="8">
        <v>10235</v>
      </c>
      <c r="B328" s="8" t="s">
        <v>765</v>
      </c>
      <c r="C328" s="8" t="s">
        <v>365</v>
      </c>
      <c r="D328" s="8" t="s">
        <v>337</v>
      </c>
      <c r="E328" s="8" t="s">
        <v>366</v>
      </c>
      <c r="F328" s="8">
        <v>137.21549999999999</v>
      </c>
    </row>
    <row r="329" spans="1:6" ht="15" customHeight="1" x14ac:dyDescent="0.25">
      <c r="A329" s="8">
        <v>10858</v>
      </c>
      <c r="B329" s="8" t="s">
        <v>766</v>
      </c>
      <c r="C329" s="8" t="s">
        <v>435</v>
      </c>
      <c r="D329" s="8" t="s">
        <v>282</v>
      </c>
      <c r="E329" s="8" t="s">
        <v>767</v>
      </c>
      <c r="F329" s="8">
        <v>143.42449999999999</v>
      </c>
    </row>
    <row r="330" spans="1:6" ht="15" customHeight="1" x14ac:dyDescent="0.25">
      <c r="A330" s="8">
        <v>10446</v>
      </c>
      <c r="B330" s="8" t="s">
        <v>768</v>
      </c>
      <c r="C330" s="8" t="s">
        <v>226</v>
      </c>
      <c r="D330" s="8" t="s">
        <v>769</v>
      </c>
      <c r="E330" s="8" t="s">
        <v>770</v>
      </c>
      <c r="F330" s="8">
        <v>187.31</v>
      </c>
    </row>
    <row r="331" spans="1:6" ht="15" customHeight="1" x14ac:dyDescent="0.25">
      <c r="A331" s="8">
        <v>10797</v>
      </c>
      <c r="B331" s="8" t="s">
        <v>771</v>
      </c>
      <c r="C331" s="8" t="s">
        <v>243</v>
      </c>
      <c r="D331" s="8" t="s">
        <v>197</v>
      </c>
      <c r="E331" s="8" t="s">
        <v>772</v>
      </c>
      <c r="F331" s="8">
        <v>50.983899999999998</v>
      </c>
    </row>
    <row r="332" spans="1:6" ht="15" customHeight="1" x14ac:dyDescent="0.25">
      <c r="A332" s="8">
        <v>10578</v>
      </c>
      <c r="B332" s="8" t="s">
        <v>773</v>
      </c>
      <c r="C332" s="8" t="s">
        <v>233</v>
      </c>
      <c r="D332" s="8" t="s">
        <v>266</v>
      </c>
      <c r="E332" s="8" t="s">
        <v>588</v>
      </c>
      <c r="F332" s="8">
        <v>3325.0272</v>
      </c>
    </row>
    <row r="333" spans="1:6" ht="15" customHeight="1" x14ac:dyDescent="0.25">
      <c r="A333" s="8">
        <v>10180</v>
      </c>
      <c r="B333" s="8" t="s">
        <v>774</v>
      </c>
      <c r="C333" s="8" t="s">
        <v>180</v>
      </c>
      <c r="D333" s="8" t="s">
        <v>282</v>
      </c>
      <c r="E333" s="8" t="s">
        <v>775</v>
      </c>
      <c r="F333" s="8">
        <v>22027.840899999999</v>
      </c>
    </row>
    <row r="334" spans="1:6" ht="15" customHeight="1" x14ac:dyDescent="0.25">
      <c r="A334" s="8">
        <v>11552</v>
      </c>
      <c r="B334" s="8" t="s">
        <v>776</v>
      </c>
      <c r="C334" s="8" t="s">
        <v>200</v>
      </c>
      <c r="D334" s="8" t="s">
        <v>201</v>
      </c>
      <c r="E334" s="8" t="s">
        <v>285</v>
      </c>
      <c r="F334" s="8">
        <v>10.2775</v>
      </c>
    </row>
    <row r="335" spans="1:6" ht="15" customHeight="1" x14ac:dyDescent="0.25">
      <c r="A335" s="8">
        <v>10220</v>
      </c>
      <c r="B335" s="8" t="s">
        <v>777</v>
      </c>
      <c r="C335" s="8" t="s">
        <v>180</v>
      </c>
      <c r="D335" s="8" t="s">
        <v>282</v>
      </c>
      <c r="E335" s="8" t="s">
        <v>715</v>
      </c>
      <c r="F335" s="8">
        <v>922.12829999999997</v>
      </c>
    </row>
    <row r="336" spans="1:6" ht="15" customHeight="1" x14ac:dyDescent="0.25">
      <c r="A336" s="8">
        <v>10582</v>
      </c>
      <c r="B336" s="8" t="s">
        <v>778</v>
      </c>
      <c r="C336" s="8" t="s">
        <v>355</v>
      </c>
      <c r="D336" s="8" t="s">
        <v>266</v>
      </c>
      <c r="E336" s="8" t="s">
        <v>360</v>
      </c>
      <c r="F336" s="8">
        <v>107.05889999999999</v>
      </c>
    </row>
    <row r="337" spans="1:6" ht="15" customHeight="1" x14ac:dyDescent="0.25">
      <c r="A337" s="8">
        <v>10087</v>
      </c>
      <c r="B337" s="8" t="s">
        <v>779</v>
      </c>
      <c r="C337" s="8" t="s">
        <v>221</v>
      </c>
      <c r="D337" s="8" t="s">
        <v>340</v>
      </c>
      <c r="E337" s="8" t="s">
        <v>341</v>
      </c>
      <c r="F337" s="8">
        <v>228.55</v>
      </c>
    </row>
    <row r="338" spans="1:6" ht="15" customHeight="1" x14ac:dyDescent="0.25">
      <c r="A338" s="8">
        <v>10260</v>
      </c>
      <c r="B338" s="8" t="s">
        <v>780</v>
      </c>
      <c r="C338" s="8" t="s">
        <v>187</v>
      </c>
      <c r="D338" s="8" t="s">
        <v>177</v>
      </c>
      <c r="E338" s="8" t="s">
        <v>710</v>
      </c>
      <c r="F338" s="8">
        <v>4499.87</v>
      </c>
    </row>
    <row r="339" spans="1:6" ht="15" customHeight="1" x14ac:dyDescent="0.25">
      <c r="A339" s="8">
        <v>10103</v>
      </c>
      <c r="B339" s="8" t="s">
        <v>781</v>
      </c>
      <c r="C339" s="8" t="s">
        <v>243</v>
      </c>
      <c r="D339" s="8" t="s">
        <v>782</v>
      </c>
      <c r="E339" s="8" t="s">
        <v>783</v>
      </c>
      <c r="F339" s="8">
        <v>437.13330000000002</v>
      </c>
    </row>
    <row r="340" spans="1:6" ht="15" customHeight="1" x14ac:dyDescent="0.25">
      <c r="A340" s="8">
        <v>10768</v>
      </c>
      <c r="B340" s="8" t="s">
        <v>784</v>
      </c>
      <c r="C340" s="8" t="s">
        <v>748</v>
      </c>
      <c r="D340" s="8" t="s">
        <v>209</v>
      </c>
      <c r="E340" s="8" t="s">
        <v>210</v>
      </c>
      <c r="F340" s="8">
        <v>3150</v>
      </c>
    </row>
    <row r="341" spans="1:6" ht="15" customHeight="1" x14ac:dyDescent="0.25">
      <c r="A341" s="8">
        <v>10598</v>
      </c>
      <c r="B341" s="8" t="s">
        <v>785</v>
      </c>
      <c r="C341" s="8" t="s">
        <v>355</v>
      </c>
      <c r="D341" s="8" t="s">
        <v>266</v>
      </c>
      <c r="E341" s="8" t="s">
        <v>400</v>
      </c>
      <c r="F341" s="8">
        <v>669.03030000000001</v>
      </c>
    </row>
    <row r="342" spans="1:6" ht="15" customHeight="1" x14ac:dyDescent="0.25">
      <c r="A342" s="8">
        <v>10520</v>
      </c>
      <c r="B342" s="8" t="s">
        <v>786</v>
      </c>
      <c r="C342" s="8" t="s">
        <v>355</v>
      </c>
      <c r="D342" s="8" t="s">
        <v>279</v>
      </c>
      <c r="E342" s="8" t="s">
        <v>379</v>
      </c>
      <c r="F342" s="8">
        <v>10363.147300000001</v>
      </c>
    </row>
    <row r="343" spans="1:6" ht="15" customHeight="1" x14ac:dyDescent="0.25">
      <c r="A343" s="8">
        <v>10315</v>
      </c>
      <c r="B343" s="8" t="s">
        <v>787</v>
      </c>
      <c r="C343" s="8" t="s">
        <v>176</v>
      </c>
      <c r="D343" s="8" t="s">
        <v>177</v>
      </c>
      <c r="E343" s="8" t="s">
        <v>273</v>
      </c>
      <c r="F343" s="8">
        <v>4180</v>
      </c>
    </row>
    <row r="344" spans="1:6" ht="15" customHeight="1" x14ac:dyDescent="0.25">
      <c r="A344" s="8">
        <v>10398</v>
      </c>
      <c r="B344" s="8" t="s">
        <v>788</v>
      </c>
      <c r="C344" s="8" t="s">
        <v>504</v>
      </c>
      <c r="D344" s="8" t="s">
        <v>257</v>
      </c>
      <c r="E344" s="8" t="s">
        <v>258</v>
      </c>
      <c r="F344" s="8">
        <v>9327</v>
      </c>
    </row>
    <row r="345" spans="1:6" ht="15" customHeight="1" x14ac:dyDescent="0.25">
      <c r="A345" s="8">
        <v>10676</v>
      </c>
      <c r="B345" s="8" t="s">
        <v>789</v>
      </c>
      <c r="C345" s="8" t="s">
        <v>200</v>
      </c>
      <c r="D345" s="8" t="s">
        <v>201</v>
      </c>
      <c r="E345" s="8" t="s">
        <v>713</v>
      </c>
      <c r="F345" s="8">
        <v>547.98360000000002</v>
      </c>
    </row>
    <row r="346" spans="1:6" ht="15" customHeight="1" x14ac:dyDescent="0.25">
      <c r="A346" s="8">
        <v>10228</v>
      </c>
      <c r="B346" s="8" t="s">
        <v>790</v>
      </c>
      <c r="C346" s="8" t="s">
        <v>233</v>
      </c>
      <c r="D346" s="8" t="s">
        <v>282</v>
      </c>
      <c r="E346" s="8" t="s">
        <v>351</v>
      </c>
      <c r="F346" s="8">
        <v>2888.4967000000001</v>
      </c>
    </row>
    <row r="347" spans="1:6" ht="15" customHeight="1" x14ac:dyDescent="0.25">
      <c r="A347" s="8">
        <v>10583</v>
      </c>
      <c r="B347" s="8" t="s">
        <v>791</v>
      </c>
      <c r="C347" s="8" t="s">
        <v>435</v>
      </c>
      <c r="D347" s="8" t="s">
        <v>266</v>
      </c>
      <c r="E347" s="8" t="s">
        <v>400</v>
      </c>
      <c r="F347" s="8">
        <v>4979.1400000000003</v>
      </c>
    </row>
    <row r="348" spans="1:6" ht="15" customHeight="1" x14ac:dyDescent="0.25">
      <c r="A348" s="8">
        <v>11070</v>
      </c>
      <c r="B348" s="8" t="s">
        <v>792</v>
      </c>
      <c r="C348" s="8" t="s">
        <v>701</v>
      </c>
      <c r="D348" s="8" t="s">
        <v>266</v>
      </c>
      <c r="E348" s="8" t="s">
        <v>267</v>
      </c>
      <c r="F348" s="8">
        <v>16860.388200000001</v>
      </c>
    </row>
    <row r="349" spans="1:6" ht="15" customHeight="1" x14ac:dyDescent="0.25">
      <c r="A349" s="8">
        <v>10799</v>
      </c>
      <c r="B349" s="8" t="s">
        <v>793</v>
      </c>
      <c r="C349" s="8" t="s">
        <v>176</v>
      </c>
      <c r="D349" s="8" t="s">
        <v>197</v>
      </c>
      <c r="E349" s="8" t="s">
        <v>794</v>
      </c>
      <c r="F349" s="8">
        <v>145.99469999999999</v>
      </c>
    </row>
    <row r="350" spans="1:6" ht="15" customHeight="1" x14ac:dyDescent="0.25">
      <c r="A350" s="8">
        <v>10390</v>
      </c>
      <c r="B350" s="8" t="s">
        <v>795</v>
      </c>
      <c r="C350" s="8" t="s">
        <v>796</v>
      </c>
      <c r="D350" s="8" t="s">
        <v>205</v>
      </c>
      <c r="E350" s="8" t="s">
        <v>219</v>
      </c>
      <c r="F350" s="8">
        <v>513911.49729999999</v>
      </c>
    </row>
    <row r="351" spans="1:6" ht="15" customHeight="1" x14ac:dyDescent="0.25">
      <c r="A351" s="8">
        <v>10971</v>
      </c>
      <c r="B351" s="8" t="s">
        <v>797</v>
      </c>
      <c r="C351" s="8" t="s">
        <v>798</v>
      </c>
      <c r="D351" s="8" t="s">
        <v>320</v>
      </c>
      <c r="E351" s="8" t="s">
        <v>407</v>
      </c>
      <c r="F351" s="8">
        <v>1469.8009999999999</v>
      </c>
    </row>
    <row r="352" spans="1:6" ht="15" customHeight="1" x14ac:dyDescent="0.25">
      <c r="A352" s="8">
        <v>10623</v>
      </c>
      <c r="B352" s="8" t="s">
        <v>799</v>
      </c>
      <c r="C352" s="8" t="s">
        <v>176</v>
      </c>
      <c r="D352" s="8" t="s">
        <v>244</v>
      </c>
      <c r="E352" s="8" t="s">
        <v>800</v>
      </c>
      <c r="F352" s="8">
        <v>25134.352500000001</v>
      </c>
    </row>
    <row r="353" spans="1:6" ht="15" customHeight="1" x14ac:dyDescent="0.25">
      <c r="A353" s="8">
        <v>10758</v>
      </c>
      <c r="B353" s="8" t="s">
        <v>801</v>
      </c>
      <c r="C353" s="8" t="s">
        <v>212</v>
      </c>
      <c r="D353" s="8" t="s">
        <v>213</v>
      </c>
      <c r="E353" s="8" t="s">
        <v>214</v>
      </c>
      <c r="F353" s="8">
        <v>38.597200000000001</v>
      </c>
    </row>
    <row r="354" spans="1:6" ht="15" customHeight="1" x14ac:dyDescent="0.25">
      <c r="A354" s="8">
        <v>10372</v>
      </c>
      <c r="B354" s="8" t="s">
        <v>802</v>
      </c>
      <c r="C354" s="8" t="s">
        <v>661</v>
      </c>
      <c r="D354" s="8" t="s">
        <v>205</v>
      </c>
      <c r="E354" s="8" t="s">
        <v>219</v>
      </c>
      <c r="F354" s="8">
        <v>759200</v>
      </c>
    </row>
    <row r="355" spans="1:6" ht="15" customHeight="1" x14ac:dyDescent="0.25">
      <c r="A355" s="8">
        <v>10440</v>
      </c>
      <c r="B355" s="8" t="s">
        <v>803</v>
      </c>
      <c r="C355" s="8" t="s">
        <v>226</v>
      </c>
      <c r="D355" s="8" t="s">
        <v>227</v>
      </c>
      <c r="E355" s="8" t="s">
        <v>804</v>
      </c>
      <c r="F355" s="8">
        <v>504.892</v>
      </c>
    </row>
    <row r="356" spans="1:6" ht="15" customHeight="1" x14ac:dyDescent="0.25">
      <c r="A356" s="8">
        <v>10596</v>
      </c>
      <c r="B356" s="8" t="s">
        <v>805</v>
      </c>
      <c r="C356" s="8" t="s">
        <v>278</v>
      </c>
      <c r="D356" s="8" t="s">
        <v>266</v>
      </c>
      <c r="E356" s="8" t="s">
        <v>586</v>
      </c>
      <c r="F356" s="8">
        <v>213.3263</v>
      </c>
    </row>
    <row r="357" spans="1:6" ht="15" customHeight="1" x14ac:dyDescent="0.25">
      <c r="A357" s="8">
        <v>10410</v>
      </c>
      <c r="B357" s="8" t="s">
        <v>806</v>
      </c>
      <c r="C357" s="8" t="s">
        <v>504</v>
      </c>
      <c r="D357" s="8" t="s">
        <v>257</v>
      </c>
      <c r="E357" s="8" t="s">
        <v>258</v>
      </c>
      <c r="F357" s="8">
        <v>3680</v>
      </c>
    </row>
    <row r="358" spans="1:6" ht="15" customHeight="1" x14ac:dyDescent="0.25">
      <c r="A358" s="8">
        <v>11129</v>
      </c>
      <c r="B358" s="8" t="s">
        <v>807</v>
      </c>
      <c r="C358" s="8" t="s">
        <v>200</v>
      </c>
      <c r="D358" s="8" t="s">
        <v>201</v>
      </c>
      <c r="E358" s="8" t="s">
        <v>451</v>
      </c>
      <c r="F358" s="8">
        <v>25.128399999999999</v>
      </c>
    </row>
    <row r="359" spans="1:6" ht="15" customHeight="1" x14ac:dyDescent="0.25">
      <c r="A359" s="8">
        <v>10012</v>
      </c>
      <c r="B359" s="8" t="s">
        <v>808</v>
      </c>
      <c r="C359" s="8" t="s">
        <v>566</v>
      </c>
      <c r="D359" s="8" t="s">
        <v>261</v>
      </c>
      <c r="E359" s="8" t="s">
        <v>262</v>
      </c>
      <c r="F359" s="8">
        <v>50847.749199999998</v>
      </c>
    </row>
    <row r="360" spans="1:6" ht="15" customHeight="1" x14ac:dyDescent="0.25">
      <c r="A360" s="8">
        <v>10706</v>
      </c>
      <c r="B360" s="8" t="s">
        <v>809</v>
      </c>
      <c r="C360" s="8" t="s">
        <v>200</v>
      </c>
      <c r="D360" s="8" t="s">
        <v>201</v>
      </c>
      <c r="E360" s="8" t="s">
        <v>285</v>
      </c>
      <c r="F360" s="8">
        <v>103.4693</v>
      </c>
    </row>
    <row r="361" spans="1:6" ht="15" customHeight="1" x14ac:dyDescent="0.25">
      <c r="A361" s="8">
        <v>10091</v>
      </c>
      <c r="B361" s="8" t="s">
        <v>810</v>
      </c>
      <c r="C361" s="8" t="s">
        <v>192</v>
      </c>
      <c r="D361" s="8" t="s">
        <v>340</v>
      </c>
      <c r="E361" s="8" t="s">
        <v>341</v>
      </c>
      <c r="F361" s="8">
        <v>15943.5</v>
      </c>
    </row>
    <row r="362" spans="1:6" ht="15" customHeight="1" x14ac:dyDescent="0.25">
      <c r="A362" s="8">
        <v>11042</v>
      </c>
      <c r="B362" s="8" t="s">
        <v>811</v>
      </c>
      <c r="C362" s="8" t="s">
        <v>212</v>
      </c>
      <c r="D362" s="8" t="s">
        <v>266</v>
      </c>
      <c r="E362" s="8" t="s">
        <v>360</v>
      </c>
      <c r="F362" s="8">
        <v>149.15090000000001</v>
      </c>
    </row>
    <row r="363" spans="1:6" ht="15" customHeight="1" x14ac:dyDescent="0.25">
      <c r="A363" s="8">
        <v>10088</v>
      </c>
      <c r="B363" s="8" t="s">
        <v>812</v>
      </c>
      <c r="C363" s="8" t="s">
        <v>221</v>
      </c>
      <c r="D363" s="8" t="s">
        <v>340</v>
      </c>
      <c r="E363" s="8" t="s">
        <v>341</v>
      </c>
      <c r="F363" s="8">
        <v>150.75</v>
      </c>
    </row>
    <row r="364" spans="1:6" ht="15" customHeight="1" x14ac:dyDescent="0.25">
      <c r="A364" s="8">
        <v>10085</v>
      </c>
      <c r="B364" s="8" t="s">
        <v>813</v>
      </c>
      <c r="C364" s="8" t="s">
        <v>319</v>
      </c>
      <c r="D364" s="8" t="s">
        <v>340</v>
      </c>
      <c r="E364" s="8" t="s">
        <v>486</v>
      </c>
      <c r="F364" s="8">
        <v>192.4</v>
      </c>
    </row>
    <row r="365" spans="1:6" ht="15" customHeight="1" x14ac:dyDescent="0.25">
      <c r="A365" s="8">
        <v>10023</v>
      </c>
      <c r="B365" s="8" t="s">
        <v>814</v>
      </c>
      <c r="C365" s="8" t="s">
        <v>187</v>
      </c>
      <c r="D365" s="8" t="s">
        <v>197</v>
      </c>
      <c r="E365" s="8" t="s">
        <v>264</v>
      </c>
      <c r="F365" s="8">
        <v>16661.384999999998</v>
      </c>
    </row>
    <row r="366" spans="1:6" ht="15" customHeight="1" x14ac:dyDescent="0.25">
      <c r="A366" s="8">
        <v>10486</v>
      </c>
      <c r="B366" s="8" t="s">
        <v>815</v>
      </c>
      <c r="C366" s="8" t="s">
        <v>355</v>
      </c>
      <c r="D366" s="8" t="s">
        <v>279</v>
      </c>
      <c r="E366" s="8" t="s">
        <v>534</v>
      </c>
      <c r="F366" s="8">
        <v>7334.2109</v>
      </c>
    </row>
    <row r="367" spans="1:6" ht="15" customHeight="1" x14ac:dyDescent="0.25">
      <c r="A367" s="8">
        <v>10450</v>
      </c>
      <c r="B367" s="8" t="s">
        <v>816</v>
      </c>
      <c r="C367" s="8" t="s">
        <v>226</v>
      </c>
      <c r="D367" s="8" t="s">
        <v>227</v>
      </c>
      <c r="E367" s="8" t="s">
        <v>719</v>
      </c>
      <c r="F367" s="8">
        <v>41.255800000000001</v>
      </c>
    </row>
    <row r="368" spans="1:6" ht="15" customHeight="1" x14ac:dyDescent="0.25">
      <c r="A368" s="8">
        <v>10504</v>
      </c>
      <c r="B368" s="8" t="s">
        <v>817</v>
      </c>
      <c r="C368" s="8" t="s">
        <v>355</v>
      </c>
      <c r="D368" s="8" t="s">
        <v>279</v>
      </c>
      <c r="E368" s="8" t="s">
        <v>356</v>
      </c>
      <c r="F368" s="8">
        <v>17180</v>
      </c>
    </row>
    <row r="369" spans="1:6" ht="15" customHeight="1" x14ac:dyDescent="0.25">
      <c r="A369" s="8">
        <v>11480</v>
      </c>
      <c r="B369" s="8" t="s">
        <v>818</v>
      </c>
      <c r="C369" s="8" t="s">
        <v>312</v>
      </c>
      <c r="D369" s="8" t="s">
        <v>282</v>
      </c>
      <c r="E369" s="8" t="s">
        <v>819</v>
      </c>
      <c r="F369" s="8">
        <v>5.3160999999999996</v>
      </c>
    </row>
    <row r="370" spans="1:6" ht="15" customHeight="1" x14ac:dyDescent="0.25">
      <c r="A370" s="8">
        <v>10274</v>
      </c>
      <c r="B370" s="8" t="s">
        <v>820</v>
      </c>
      <c r="C370" s="8" t="s">
        <v>176</v>
      </c>
      <c r="D370" s="8" t="s">
        <v>177</v>
      </c>
      <c r="E370" s="8" t="s">
        <v>178</v>
      </c>
      <c r="F370" s="8">
        <v>280</v>
      </c>
    </row>
    <row r="371" spans="1:6" ht="15" customHeight="1" x14ac:dyDescent="0.25">
      <c r="A371" s="8">
        <v>10143</v>
      </c>
      <c r="B371" s="8" t="s">
        <v>821</v>
      </c>
      <c r="C371" s="8" t="s">
        <v>184</v>
      </c>
      <c r="D371" s="8" t="s">
        <v>181</v>
      </c>
      <c r="E371" s="8" t="s">
        <v>185</v>
      </c>
      <c r="F371" s="8">
        <v>169.5</v>
      </c>
    </row>
    <row r="372" spans="1:6" ht="15" customHeight="1" x14ac:dyDescent="0.25">
      <c r="A372" s="8">
        <v>10213</v>
      </c>
      <c r="B372" s="8" t="s">
        <v>822</v>
      </c>
      <c r="C372" s="8" t="s">
        <v>180</v>
      </c>
      <c r="D372" s="8" t="s">
        <v>282</v>
      </c>
      <c r="E372" s="8" t="s">
        <v>436</v>
      </c>
      <c r="F372" s="8">
        <v>2222.8674999999998</v>
      </c>
    </row>
    <row r="373" spans="1:6" ht="15" customHeight="1" x14ac:dyDescent="0.25">
      <c r="A373" s="8">
        <v>10647</v>
      </c>
      <c r="B373" s="8" t="s">
        <v>823</v>
      </c>
      <c r="C373" s="8" t="s">
        <v>200</v>
      </c>
      <c r="D373" s="8" t="s">
        <v>201</v>
      </c>
      <c r="E373" s="8" t="s">
        <v>532</v>
      </c>
      <c r="F373" s="8">
        <v>1087.5751</v>
      </c>
    </row>
    <row r="374" spans="1:6" ht="15" customHeight="1" x14ac:dyDescent="0.25">
      <c r="A374" s="8">
        <v>10684</v>
      </c>
      <c r="B374" s="8" t="s">
        <v>824</v>
      </c>
      <c r="C374" s="8" t="s">
        <v>200</v>
      </c>
      <c r="D374" s="8" t="s">
        <v>201</v>
      </c>
      <c r="E374" s="8" t="s">
        <v>377</v>
      </c>
      <c r="F374" s="8">
        <v>228.49709999999999</v>
      </c>
    </row>
    <row r="375" spans="1:6" ht="15" customHeight="1" x14ac:dyDescent="0.25">
      <c r="A375" s="8">
        <v>10855</v>
      </c>
      <c r="B375" s="8" t="s">
        <v>825</v>
      </c>
      <c r="C375" s="8" t="s">
        <v>233</v>
      </c>
      <c r="D375" s="8" t="s">
        <v>282</v>
      </c>
      <c r="E375" s="8" t="s">
        <v>351</v>
      </c>
      <c r="F375" s="8">
        <v>1559.5481</v>
      </c>
    </row>
    <row r="376" spans="1:6" ht="15" customHeight="1" x14ac:dyDescent="0.25">
      <c r="A376" s="8">
        <v>10296</v>
      </c>
      <c r="B376" s="8" t="s">
        <v>826</v>
      </c>
      <c r="C376" s="8" t="s">
        <v>395</v>
      </c>
      <c r="D376" s="8" t="s">
        <v>177</v>
      </c>
      <c r="E376" s="8" t="s">
        <v>275</v>
      </c>
      <c r="F376" s="8">
        <v>2478</v>
      </c>
    </row>
    <row r="377" spans="1:6" ht="15" customHeight="1" x14ac:dyDescent="0.25">
      <c r="A377" s="8">
        <v>10194</v>
      </c>
      <c r="B377" s="8" t="s">
        <v>827</v>
      </c>
      <c r="C377" s="8" t="s">
        <v>180</v>
      </c>
      <c r="D377" s="8" t="s">
        <v>282</v>
      </c>
      <c r="E377" s="8" t="s">
        <v>283</v>
      </c>
      <c r="F377" s="8">
        <v>501.3</v>
      </c>
    </row>
    <row r="378" spans="1:6" ht="15" customHeight="1" x14ac:dyDescent="0.25">
      <c r="A378" s="8">
        <v>10422</v>
      </c>
      <c r="B378" s="8" t="s">
        <v>828</v>
      </c>
      <c r="C378" s="8" t="s">
        <v>180</v>
      </c>
      <c r="D378" s="8" t="s">
        <v>213</v>
      </c>
      <c r="E378" s="8" t="s">
        <v>214</v>
      </c>
      <c r="F378" s="8">
        <v>580.16570000000002</v>
      </c>
    </row>
    <row r="379" spans="1:6" ht="15" customHeight="1" x14ac:dyDescent="0.25">
      <c r="A379" s="8">
        <v>10683</v>
      </c>
      <c r="B379" s="8" t="s">
        <v>829</v>
      </c>
      <c r="C379" s="8" t="s">
        <v>200</v>
      </c>
      <c r="D379" s="8" t="s">
        <v>201</v>
      </c>
      <c r="E379" s="8" t="s">
        <v>285</v>
      </c>
      <c r="F379" s="8">
        <v>31.9893</v>
      </c>
    </row>
    <row r="380" spans="1:6" ht="15" customHeight="1" x14ac:dyDescent="0.25">
      <c r="A380" s="8">
        <v>10347</v>
      </c>
      <c r="B380" s="8" t="s">
        <v>830</v>
      </c>
      <c r="C380" s="8" t="s">
        <v>272</v>
      </c>
      <c r="D380" s="8" t="s">
        <v>177</v>
      </c>
      <c r="E380" s="8" t="s">
        <v>273</v>
      </c>
      <c r="F380" s="8">
        <v>6352</v>
      </c>
    </row>
    <row r="381" spans="1:6" ht="15" customHeight="1" x14ac:dyDescent="0.25">
      <c r="A381" s="8">
        <v>10312</v>
      </c>
      <c r="B381" s="8" t="s">
        <v>831</v>
      </c>
      <c r="C381" s="8" t="s">
        <v>176</v>
      </c>
      <c r="D381" s="8" t="s">
        <v>177</v>
      </c>
      <c r="E381" s="8" t="s">
        <v>254</v>
      </c>
      <c r="F381" s="8">
        <v>2119</v>
      </c>
    </row>
    <row r="382" spans="1:6" ht="15" customHeight="1" x14ac:dyDescent="0.25">
      <c r="A382" s="8">
        <v>10079</v>
      </c>
      <c r="B382" s="8" t="s">
        <v>832</v>
      </c>
      <c r="C382" s="8" t="s">
        <v>208</v>
      </c>
      <c r="D382" s="8" t="s">
        <v>340</v>
      </c>
      <c r="E382" s="8" t="s">
        <v>833</v>
      </c>
      <c r="F382" s="8">
        <v>2529</v>
      </c>
    </row>
    <row r="383" spans="1:6" ht="15" customHeight="1" x14ac:dyDescent="0.25">
      <c r="A383" s="8">
        <v>10561</v>
      </c>
      <c r="B383" s="8" t="s">
        <v>834</v>
      </c>
      <c r="C383" s="8" t="s">
        <v>575</v>
      </c>
      <c r="D383" s="8" t="s">
        <v>266</v>
      </c>
      <c r="E383" s="8" t="s">
        <v>421</v>
      </c>
      <c r="F383" s="8">
        <v>4500</v>
      </c>
    </row>
    <row r="384" spans="1:6" ht="15" customHeight="1" x14ac:dyDescent="0.25">
      <c r="A384" s="8">
        <v>10038</v>
      </c>
      <c r="B384" s="8" t="s">
        <v>835</v>
      </c>
      <c r="C384" s="8" t="s">
        <v>187</v>
      </c>
      <c r="D384" s="8" t="s">
        <v>197</v>
      </c>
      <c r="E384" s="8" t="s">
        <v>836</v>
      </c>
      <c r="F384" s="8">
        <v>2184.0621999999998</v>
      </c>
    </row>
    <row r="385" spans="1:6" ht="15" customHeight="1" x14ac:dyDescent="0.25">
      <c r="A385" s="8">
        <v>10442</v>
      </c>
      <c r="B385" s="8" t="s">
        <v>837</v>
      </c>
      <c r="C385" s="8" t="s">
        <v>226</v>
      </c>
      <c r="D385" s="8" t="s">
        <v>227</v>
      </c>
      <c r="E385" s="8" t="s">
        <v>228</v>
      </c>
      <c r="F385" s="8">
        <v>1251.4464</v>
      </c>
    </row>
    <row r="386" spans="1:6" ht="15" customHeight="1" x14ac:dyDescent="0.25">
      <c r="A386" s="8">
        <v>10593</v>
      </c>
      <c r="B386" s="8" t="s">
        <v>838</v>
      </c>
      <c r="C386" s="8" t="s">
        <v>839</v>
      </c>
      <c r="D386" s="8" t="s">
        <v>266</v>
      </c>
      <c r="E386" s="8" t="s">
        <v>267</v>
      </c>
      <c r="F386" s="8">
        <v>16364.854300000001</v>
      </c>
    </row>
    <row r="387" spans="1:6" ht="15" customHeight="1" x14ac:dyDescent="0.25">
      <c r="A387" s="8">
        <v>10007</v>
      </c>
      <c r="B387" s="8" t="s">
        <v>840</v>
      </c>
      <c r="C387" s="8" t="s">
        <v>841</v>
      </c>
      <c r="D387" s="8" t="s">
        <v>261</v>
      </c>
      <c r="E387" s="8" t="s">
        <v>324</v>
      </c>
      <c r="F387" s="8">
        <v>246.92230000000001</v>
      </c>
    </row>
    <row r="388" spans="1:6" ht="15" customHeight="1" x14ac:dyDescent="0.25">
      <c r="A388" s="8">
        <v>10208</v>
      </c>
      <c r="B388" s="8" t="s">
        <v>842</v>
      </c>
      <c r="C388" s="8" t="s">
        <v>448</v>
      </c>
      <c r="D388" s="8" t="s">
        <v>282</v>
      </c>
      <c r="E388" s="8" t="s">
        <v>537</v>
      </c>
      <c r="F388" s="8">
        <v>288.4649</v>
      </c>
    </row>
    <row r="389" spans="1:6" ht="15" customHeight="1" x14ac:dyDescent="0.25">
      <c r="A389" s="8">
        <v>10061</v>
      </c>
      <c r="B389" s="8" t="s">
        <v>843</v>
      </c>
      <c r="C389" s="8" t="s">
        <v>196</v>
      </c>
      <c r="D389" s="8" t="s">
        <v>197</v>
      </c>
      <c r="E389" s="8" t="s">
        <v>844</v>
      </c>
      <c r="F389" s="8">
        <v>760.56280000000004</v>
      </c>
    </row>
    <row r="390" spans="1:6" ht="15" customHeight="1" x14ac:dyDescent="0.25">
      <c r="A390" s="8">
        <v>10298</v>
      </c>
      <c r="B390" s="8" t="s">
        <v>845</v>
      </c>
      <c r="C390" s="8" t="s">
        <v>176</v>
      </c>
      <c r="D390" s="8" t="s">
        <v>177</v>
      </c>
      <c r="E390" s="8" t="s">
        <v>178</v>
      </c>
      <c r="F390" s="8">
        <v>29607.131300000001</v>
      </c>
    </row>
    <row r="391" spans="1:6" ht="15" customHeight="1" x14ac:dyDescent="0.25">
      <c r="A391" s="8">
        <v>10738</v>
      </c>
      <c r="B391" s="8" t="s">
        <v>846</v>
      </c>
      <c r="C391" s="8" t="s">
        <v>435</v>
      </c>
      <c r="D391" s="8" t="s">
        <v>251</v>
      </c>
      <c r="E391" s="8" t="s">
        <v>847</v>
      </c>
      <c r="F391" s="8">
        <v>2703.6676000000002</v>
      </c>
    </row>
    <row r="392" spans="1:6" ht="15" customHeight="1" x14ac:dyDescent="0.25">
      <c r="A392" s="8">
        <v>10060</v>
      </c>
      <c r="B392" s="8" t="s">
        <v>848</v>
      </c>
      <c r="C392" s="8" t="s">
        <v>196</v>
      </c>
      <c r="D392" s="8" t="s">
        <v>197</v>
      </c>
      <c r="E392" s="8" t="s">
        <v>473</v>
      </c>
      <c r="F392" s="8">
        <v>1063</v>
      </c>
    </row>
    <row r="393" spans="1:6" ht="15" customHeight="1" x14ac:dyDescent="0.25">
      <c r="A393" s="8">
        <v>10209</v>
      </c>
      <c r="B393" s="8" t="s">
        <v>849</v>
      </c>
      <c r="C393" s="8" t="s">
        <v>180</v>
      </c>
      <c r="D393" s="8" t="s">
        <v>282</v>
      </c>
      <c r="E393" s="8" t="s">
        <v>850</v>
      </c>
      <c r="F393" s="8">
        <v>769.86990000000003</v>
      </c>
    </row>
    <row r="394" spans="1:6" ht="15" customHeight="1" x14ac:dyDescent="0.25">
      <c r="A394" s="8">
        <v>10607</v>
      </c>
      <c r="B394" s="8" t="s">
        <v>851</v>
      </c>
      <c r="C394" s="8" t="s">
        <v>243</v>
      </c>
      <c r="D394" s="8" t="s">
        <v>266</v>
      </c>
      <c r="E394" s="8" t="s">
        <v>360</v>
      </c>
      <c r="F394" s="8">
        <v>9070.277</v>
      </c>
    </row>
    <row r="395" spans="1:6" ht="15" customHeight="1" x14ac:dyDescent="0.25">
      <c r="A395" s="8">
        <v>11489</v>
      </c>
      <c r="B395" s="8" t="s">
        <v>852</v>
      </c>
      <c r="C395" s="8" t="s">
        <v>212</v>
      </c>
      <c r="D395" s="8" t="s">
        <v>181</v>
      </c>
      <c r="E395" s="8" t="s">
        <v>475</v>
      </c>
      <c r="F395" s="8">
        <v>592.36599999999999</v>
      </c>
    </row>
    <row r="396" spans="1:6" ht="15" customHeight="1" x14ac:dyDescent="0.25">
      <c r="A396" s="8">
        <v>10050</v>
      </c>
      <c r="B396" s="8" t="s">
        <v>853</v>
      </c>
      <c r="C396" s="8" t="s">
        <v>187</v>
      </c>
      <c r="D396" s="8" t="s">
        <v>197</v>
      </c>
      <c r="E396" s="8" t="s">
        <v>854</v>
      </c>
      <c r="F396" s="8">
        <v>18270</v>
      </c>
    </row>
    <row r="397" spans="1:6" ht="15" customHeight="1" x14ac:dyDescent="0.25">
      <c r="A397" s="8">
        <v>11052</v>
      </c>
      <c r="B397" s="8" t="s">
        <v>855</v>
      </c>
      <c r="C397" s="8" t="s">
        <v>856</v>
      </c>
      <c r="D397" s="8" t="s">
        <v>266</v>
      </c>
      <c r="E397" s="8" t="s">
        <v>421</v>
      </c>
      <c r="F397" s="8">
        <v>23.843299999999999</v>
      </c>
    </row>
    <row r="398" spans="1:6" ht="15" customHeight="1" x14ac:dyDescent="0.25">
      <c r="A398" s="8">
        <v>10590</v>
      </c>
      <c r="B398" s="8" t="s">
        <v>857</v>
      </c>
      <c r="C398" s="8" t="s">
        <v>180</v>
      </c>
      <c r="D398" s="8" t="s">
        <v>266</v>
      </c>
      <c r="E398" s="8" t="s">
        <v>588</v>
      </c>
      <c r="F398" s="8">
        <v>8459.5959999999995</v>
      </c>
    </row>
    <row r="399" spans="1:6" ht="15" customHeight="1" x14ac:dyDescent="0.25">
      <c r="A399" s="8">
        <v>10549</v>
      </c>
      <c r="B399" s="8" t="s">
        <v>858</v>
      </c>
      <c r="C399" s="8" t="s">
        <v>355</v>
      </c>
      <c r="D399" s="8" t="s">
        <v>266</v>
      </c>
      <c r="E399" s="8" t="s">
        <v>360</v>
      </c>
      <c r="F399" s="8">
        <v>1254.8669</v>
      </c>
    </row>
    <row r="400" spans="1:6" ht="15" customHeight="1" x14ac:dyDescent="0.25">
      <c r="A400" s="8">
        <v>10718</v>
      </c>
      <c r="B400" s="8" t="s">
        <v>859</v>
      </c>
      <c r="C400" s="8" t="s">
        <v>176</v>
      </c>
      <c r="D400" s="8" t="s">
        <v>251</v>
      </c>
      <c r="E400" s="8" t="s">
        <v>308</v>
      </c>
      <c r="F400" s="8">
        <v>459.733</v>
      </c>
    </row>
    <row r="401" spans="1:6" ht="15" customHeight="1" x14ac:dyDescent="0.25">
      <c r="A401" s="8">
        <v>10613</v>
      </c>
      <c r="B401" s="8" t="s">
        <v>860</v>
      </c>
      <c r="C401" s="8" t="s">
        <v>585</v>
      </c>
      <c r="D401" s="8" t="s">
        <v>266</v>
      </c>
      <c r="E401" s="8" t="s">
        <v>754</v>
      </c>
      <c r="F401" s="8">
        <v>2888.83</v>
      </c>
    </row>
    <row r="402" spans="1:6" ht="15" customHeight="1" x14ac:dyDescent="0.25">
      <c r="A402" s="8">
        <v>10487</v>
      </c>
      <c r="B402" s="8" t="s">
        <v>861</v>
      </c>
      <c r="C402" s="8" t="s">
        <v>278</v>
      </c>
      <c r="D402" s="8" t="s">
        <v>279</v>
      </c>
      <c r="E402" s="8" t="s">
        <v>356</v>
      </c>
      <c r="F402" s="8">
        <v>543.50869999999998</v>
      </c>
    </row>
    <row r="403" spans="1:6" ht="15" customHeight="1" x14ac:dyDescent="0.25">
      <c r="A403" s="8">
        <v>10230</v>
      </c>
      <c r="B403" s="8" t="s">
        <v>862</v>
      </c>
      <c r="C403" s="8" t="s">
        <v>312</v>
      </c>
      <c r="D403" s="8" t="s">
        <v>282</v>
      </c>
      <c r="E403" s="8" t="s">
        <v>287</v>
      </c>
      <c r="F403" s="8">
        <v>13141.683800000001</v>
      </c>
    </row>
    <row r="404" spans="1:6" ht="15" customHeight="1" x14ac:dyDescent="0.25">
      <c r="A404" s="8">
        <v>10133</v>
      </c>
      <c r="B404" s="8" t="s">
        <v>863</v>
      </c>
      <c r="C404" s="8" t="s">
        <v>184</v>
      </c>
      <c r="D404" s="8" t="s">
        <v>181</v>
      </c>
      <c r="E404" s="8" t="s">
        <v>289</v>
      </c>
      <c r="F404" s="8">
        <v>577.65459999999996</v>
      </c>
    </row>
    <row r="405" spans="1:6" ht="15" customHeight="1" x14ac:dyDescent="0.25">
      <c r="A405" s="8">
        <v>11154</v>
      </c>
      <c r="B405" s="8" t="s">
        <v>864</v>
      </c>
      <c r="C405" s="8" t="s">
        <v>200</v>
      </c>
      <c r="D405" s="8"/>
      <c r="E405" s="8"/>
      <c r="F405" s="8">
        <v>193.34889999999999</v>
      </c>
    </row>
    <row r="406" spans="1:6" ht="15" customHeight="1" x14ac:dyDescent="0.25">
      <c r="A406" s="8">
        <v>10130</v>
      </c>
      <c r="B406" s="8" t="s">
        <v>865</v>
      </c>
      <c r="C406" s="8" t="s">
        <v>184</v>
      </c>
      <c r="D406" s="8" t="s">
        <v>181</v>
      </c>
      <c r="E406" s="8" t="s">
        <v>185</v>
      </c>
      <c r="F406" s="8">
        <v>24049.746800000001</v>
      </c>
    </row>
    <row r="407" spans="1:6" ht="15" customHeight="1" x14ac:dyDescent="0.25">
      <c r="A407" s="8">
        <v>10472</v>
      </c>
      <c r="B407" s="8" t="s">
        <v>866</v>
      </c>
      <c r="C407" s="8" t="s">
        <v>187</v>
      </c>
      <c r="D407" s="8" t="s">
        <v>320</v>
      </c>
      <c r="E407" s="8" t="s">
        <v>867</v>
      </c>
      <c r="F407" s="8">
        <v>208.24350000000001</v>
      </c>
    </row>
    <row r="408" spans="1:6" ht="15" customHeight="1" x14ac:dyDescent="0.25">
      <c r="A408" s="8">
        <v>10430</v>
      </c>
      <c r="B408" s="8" t="s">
        <v>868</v>
      </c>
      <c r="C408" s="8" t="s">
        <v>180</v>
      </c>
      <c r="D408" s="8" t="s">
        <v>213</v>
      </c>
      <c r="E408" s="8" t="s">
        <v>869</v>
      </c>
      <c r="F408" s="8">
        <v>468.16750000000002</v>
      </c>
    </row>
    <row r="409" spans="1:6" ht="15" customHeight="1" x14ac:dyDescent="0.25">
      <c r="A409" s="8">
        <v>10013</v>
      </c>
      <c r="B409" s="8" t="s">
        <v>870</v>
      </c>
      <c r="C409" s="8" t="s">
        <v>871</v>
      </c>
      <c r="D409" s="8" t="s">
        <v>261</v>
      </c>
      <c r="E409" s="8" t="s">
        <v>872</v>
      </c>
      <c r="F409" s="8">
        <v>171381.19469999999</v>
      </c>
    </row>
    <row r="410" spans="1:6" ht="15" customHeight="1" x14ac:dyDescent="0.25">
      <c r="A410" s="8">
        <v>10671</v>
      </c>
      <c r="B410" s="8" t="s">
        <v>873</v>
      </c>
      <c r="C410" s="8" t="s">
        <v>200</v>
      </c>
      <c r="D410" s="8" t="s">
        <v>201</v>
      </c>
      <c r="E410" s="8" t="s">
        <v>285</v>
      </c>
      <c r="F410" s="8">
        <v>128.91409999999999</v>
      </c>
    </row>
    <row r="411" spans="1:6" ht="15" customHeight="1" x14ac:dyDescent="0.25">
      <c r="A411" s="8">
        <v>10241</v>
      </c>
      <c r="B411" s="8" t="s">
        <v>874</v>
      </c>
      <c r="C411" s="8" t="s">
        <v>187</v>
      </c>
      <c r="D411" s="8" t="s">
        <v>177</v>
      </c>
      <c r="E411" s="8" t="s">
        <v>392</v>
      </c>
      <c r="F411" s="8">
        <v>230.48249999999999</v>
      </c>
    </row>
    <row r="412" spans="1:6" ht="15" customHeight="1" x14ac:dyDescent="0.25">
      <c r="A412" s="8">
        <v>10436</v>
      </c>
      <c r="B412" s="8" t="s">
        <v>875</v>
      </c>
      <c r="C412" s="8" t="s">
        <v>312</v>
      </c>
      <c r="D412" s="8" t="s">
        <v>213</v>
      </c>
      <c r="E412" s="8" t="s">
        <v>876</v>
      </c>
      <c r="F412" s="8">
        <v>108.1781</v>
      </c>
    </row>
    <row r="413" spans="1:6" ht="15" customHeight="1" x14ac:dyDescent="0.25">
      <c r="A413" s="8">
        <v>10531</v>
      </c>
      <c r="B413" s="8" t="s">
        <v>877</v>
      </c>
      <c r="C413" s="8" t="s">
        <v>627</v>
      </c>
      <c r="D413" s="8" t="s">
        <v>279</v>
      </c>
      <c r="E413" s="8" t="s">
        <v>878</v>
      </c>
      <c r="F413" s="8">
        <v>774.09860000000003</v>
      </c>
    </row>
    <row r="414" spans="1:6" ht="15" customHeight="1" x14ac:dyDescent="0.25">
      <c r="A414" s="8">
        <v>10697</v>
      </c>
      <c r="B414" s="8" t="s">
        <v>879</v>
      </c>
      <c r="C414" s="8" t="s">
        <v>200</v>
      </c>
      <c r="D414" s="8" t="s">
        <v>201</v>
      </c>
      <c r="E414" s="8" t="s">
        <v>377</v>
      </c>
      <c r="F414" s="8">
        <v>230.8793</v>
      </c>
    </row>
    <row r="415" spans="1:6" ht="15" customHeight="1" x14ac:dyDescent="0.25">
      <c r="A415" s="8">
        <v>11054</v>
      </c>
      <c r="B415" s="8" t="s">
        <v>880</v>
      </c>
      <c r="C415" s="8" t="s">
        <v>278</v>
      </c>
      <c r="D415" s="8" t="s">
        <v>266</v>
      </c>
      <c r="E415" s="8" t="s">
        <v>588</v>
      </c>
      <c r="F415" s="8">
        <v>7.9164000000000003</v>
      </c>
    </row>
    <row r="416" spans="1:6" ht="15" customHeight="1" x14ac:dyDescent="0.25">
      <c r="A416" s="8">
        <v>10197</v>
      </c>
      <c r="B416" s="8" t="s">
        <v>881</v>
      </c>
      <c r="C416" s="8" t="s">
        <v>882</v>
      </c>
      <c r="D416" s="8" t="s">
        <v>282</v>
      </c>
      <c r="E416" s="8" t="s">
        <v>767</v>
      </c>
      <c r="F416" s="8">
        <v>59.577199999999998</v>
      </c>
    </row>
    <row r="417" spans="1:6" ht="15" customHeight="1" x14ac:dyDescent="0.25">
      <c r="A417" s="8">
        <v>10314</v>
      </c>
      <c r="B417" s="8" t="s">
        <v>883</v>
      </c>
      <c r="C417" s="8" t="s">
        <v>176</v>
      </c>
      <c r="D417" s="8" t="s">
        <v>177</v>
      </c>
      <c r="E417" s="8" t="s">
        <v>300</v>
      </c>
      <c r="F417" s="8">
        <v>2729</v>
      </c>
    </row>
    <row r="418" spans="1:6" ht="15" customHeight="1" x14ac:dyDescent="0.25">
      <c r="A418" s="8">
        <v>11481</v>
      </c>
      <c r="B418" s="8" t="s">
        <v>884</v>
      </c>
      <c r="C418" s="8" t="s">
        <v>312</v>
      </c>
      <c r="D418" s="8" t="s">
        <v>282</v>
      </c>
      <c r="E418" s="8" t="s">
        <v>885</v>
      </c>
      <c r="F418" s="8">
        <v>21.8872</v>
      </c>
    </row>
    <row r="419" spans="1:6" ht="15" customHeight="1" x14ac:dyDescent="0.25">
      <c r="A419" s="8">
        <v>10610</v>
      </c>
      <c r="B419" s="8" t="s">
        <v>886</v>
      </c>
      <c r="C419" s="8" t="s">
        <v>233</v>
      </c>
      <c r="D419" s="8" t="s">
        <v>266</v>
      </c>
      <c r="E419" s="8" t="s">
        <v>887</v>
      </c>
      <c r="F419" s="8">
        <v>68357.59</v>
      </c>
    </row>
    <row r="420" spans="1:6" ht="15" customHeight="1" x14ac:dyDescent="0.25">
      <c r="A420" s="8">
        <v>10270</v>
      </c>
      <c r="B420" s="8" t="s">
        <v>888</v>
      </c>
      <c r="C420" s="8" t="s">
        <v>187</v>
      </c>
      <c r="D420" s="8" t="s">
        <v>177</v>
      </c>
      <c r="E420" s="8" t="s">
        <v>889</v>
      </c>
      <c r="F420" s="8">
        <v>4439.0370000000003</v>
      </c>
    </row>
    <row r="421" spans="1:6" ht="15" customHeight="1" x14ac:dyDescent="0.25">
      <c r="A421" s="8">
        <v>10707</v>
      </c>
      <c r="B421" s="8" t="s">
        <v>890</v>
      </c>
      <c r="C421" s="8" t="s">
        <v>200</v>
      </c>
      <c r="D421" s="8" t="s">
        <v>201</v>
      </c>
      <c r="E421" s="8" t="s">
        <v>377</v>
      </c>
      <c r="F421" s="8">
        <v>220.4684</v>
      </c>
    </row>
    <row r="422" spans="1:6" ht="15" customHeight="1" x14ac:dyDescent="0.25">
      <c r="A422" s="8">
        <v>10104</v>
      </c>
      <c r="B422" s="8" t="s">
        <v>891</v>
      </c>
      <c r="C422" s="8" t="s">
        <v>243</v>
      </c>
      <c r="D422" s="8" t="s">
        <v>782</v>
      </c>
      <c r="E422" s="8" t="s">
        <v>892</v>
      </c>
      <c r="F422" s="8">
        <v>128.70509999999999</v>
      </c>
    </row>
    <row r="423" spans="1:6" ht="15" customHeight="1" x14ac:dyDescent="0.25">
      <c r="A423" s="8">
        <v>10006</v>
      </c>
      <c r="B423" s="8" t="s">
        <v>893</v>
      </c>
      <c r="C423" s="8" t="s">
        <v>894</v>
      </c>
      <c r="D423" s="8" t="s">
        <v>261</v>
      </c>
      <c r="E423" s="8" t="s">
        <v>324</v>
      </c>
      <c r="F423" s="8">
        <v>42801.401700000002</v>
      </c>
    </row>
    <row r="424" spans="1:6" ht="15" customHeight="1" x14ac:dyDescent="0.25">
      <c r="A424" s="8">
        <v>10693</v>
      </c>
      <c r="B424" s="8" t="s">
        <v>650</v>
      </c>
      <c r="C424" s="8" t="s">
        <v>200</v>
      </c>
      <c r="D424" s="8" t="s">
        <v>201</v>
      </c>
      <c r="E424" s="8" t="s">
        <v>377</v>
      </c>
      <c r="F424" s="8">
        <v>415.22390000000001</v>
      </c>
    </row>
    <row r="425" spans="1:6" ht="15" customHeight="1" x14ac:dyDescent="0.25">
      <c r="A425" s="8">
        <v>10196</v>
      </c>
      <c r="B425" s="8" t="s">
        <v>895</v>
      </c>
      <c r="C425" s="8" t="s">
        <v>233</v>
      </c>
      <c r="D425" s="8" t="s">
        <v>282</v>
      </c>
      <c r="E425" s="8" t="s">
        <v>287</v>
      </c>
      <c r="F425" s="8">
        <v>16418.442500000001</v>
      </c>
    </row>
    <row r="426" spans="1:6" ht="15" customHeight="1" x14ac:dyDescent="0.25">
      <c r="A426" s="8">
        <v>10696</v>
      </c>
      <c r="B426" s="8" t="s">
        <v>896</v>
      </c>
      <c r="C426" s="8" t="s">
        <v>200</v>
      </c>
      <c r="D426" s="8" t="s">
        <v>201</v>
      </c>
      <c r="E426" s="8" t="s">
        <v>216</v>
      </c>
      <c r="F426" s="8">
        <v>98.374300000000005</v>
      </c>
    </row>
    <row r="427" spans="1:6" ht="15" customHeight="1" x14ac:dyDescent="0.25">
      <c r="A427" s="8">
        <v>10700</v>
      </c>
      <c r="B427" s="8" t="s">
        <v>897</v>
      </c>
      <c r="C427" s="8" t="s">
        <v>200</v>
      </c>
      <c r="D427" s="8" t="s">
        <v>201</v>
      </c>
      <c r="E427" s="8" t="s">
        <v>216</v>
      </c>
      <c r="F427" s="8">
        <v>42.002899999999997</v>
      </c>
    </row>
    <row r="428" spans="1:6" ht="15" customHeight="1" x14ac:dyDescent="0.25">
      <c r="A428" s="8">
        <v>10321</v>
      </c>
      <c r="B428" s="8" t="s">
        <v>898</v>
      </c>
      <c r="C428" s="8" t="s">
        <v>187</v>
      </c>
      <c r="D428" s="8" t="s">
        <v>177</v>
      </c>
      <c r="E428" s="8" t="s">
        <v>392</v>
      </c>
      <c r="F428" s="8">
        <v>5446.1559999999999</v>
      </c>
    </row>
    <row r="429" spans="1:6" ht="15" customHeight="1" x14ac:dyDescent="0.25">
      <c r="A429" s="8">
        <v>10778</v>
      </c>
      <c r="B429" s="8" t="s">
        <v>899</v>
      </c>
      <c r="C429" s="8" t="s">
        <v>900</v>
      </c>
      <c r="D429" s="8" t="s">
        <v>209</v>
      </c>
      <c r="E429" s="8" t="s">
        <v>210</v>
      </c>
      <c r="F429" s="8">
        <v>95038.361699999994</v>
      </c>
    </row>
    <row r="430" spans="1:6" ht="15" customHeight="1" x14ac:dyDescent="0.25">
      <c r="A430" s="8">
        <v>10067</v>
      </c>
      <c r="B430" s="8" t="s">
        <v>901</v>
      </c>
      <c r="C430" s="8" t="s">
        <v>187</v>
      </c>
      <c r="D430" s="8" t="s">
        <v>197</v>
      </c>
      <c r="E430" s="8" t="s">
        <v>902</v>
      </c>
      <c r="F430" s="8">
        <v>10992.0293</v>
      </c>
    </row>
    <row r="431" spans="1:6" ht="15" customHeight="1" x14ac:dyDescent="0.25">
      <c r="A431" s="8">
        <v>10491</v>
      </c>
      <c r="B431" s="8" t="s">
        <v>903</v>
      </c>
      <c r="C431" s="8" t="s">
        <v>278</v>
      </c>
      <c r="D431" s="8" t="s">
        <v>279</v>
      </c>
      <c r="E431" s="8" t="s">
        <v>904</v>
      </c>
      <c r="F431" s="8">
        <v>791.59439999999995</v>
      </c>
    </row>
    <row r="432" spans="1:6" ht="15" customHeight="1" x14ac:dyDescent="0.25">
      <c r="A432" s="8">
        <v>10272</v>
      </c>
      <c r="B432" s="8" t="s">
        <v>905</v>
      </c>
      <c r="C432" s="8" t="s">
        <v>187</v>
      </c>
      <c r="D432" s="8" t="s">
        <v>177</v>
      </c>
      <c r="E432" s="8" t="s">
        <v>363</v>
      </c>
      <c r="F432" s="8">
        <v>60.7498</v>
      </c>
    </row>
    <row r="433" spans="1:6" ht="15" customHeight="1" x14ac:dyDescent="0.25">
      <c r="A433" s="8">
        <v>10328</v>
      </c>
      <c r="B433" s="8" t="s">
        <v>906</v>
      </c>
      <c r="C433" s="8" t="s">
        <v>272</v>
      </c>
      <c r="D433" s="8" t="s">
        <v>177</v>
      </c>
      <c r="E433" s="8" t="s">
        <v>275</v>
      </c>
      <c r="F433" s="8">
        <v>9024</v>
      </c>
    </row>
    <row r="434" spans="1:6" ht="15" customHeight="1" x14ac:dyDescent="0.25">
      <c r="A434" s="8">
        <v>10723</v>
      </c>
      <c r="B434" s="8" t="s">
        <v>907</v>
      </c>
      <c r="C434" s="8" t="s">
        <v>187</v>
      </c>
      <c r="D434" s="8" t="s">
        <v>251</v>
      </c>
      <c r="E434" s="8" t="s">
        <v>369</v>
      </c>
      <c r="F434" s="8">
        <v>15957.688</v>
      </c>
    </row>
    <row r="435" spans="1:6" ht="15" customHeight="1" x14ac:dyDescent="0.25">
      <c r="A435" s="8">
        <v>10437</v>
      </c>
      <c r="B435" s="8" t="s">
        <v>908</v>
      </c>
      <c r="C435" s="8" t="s">
        <v>312</v>
      </c>
      <c r="D435" s="8" t="s">
        <v>213</v>
      </c>
      <c r="E435" s="8" t="s">
        <v>909</v>
      </c>
      <c r="F435" s="8">
        <v>158.63159999999999</v>
      </c>
    </row>
    <row r="436" spans="1:6" ht="15" customHeight="1" x14ac:dyDescent="0.25">
      <c r="A436" s="8">
        <v>11643</v>
      </c>
      <c r="B436" s="8" t="s">
        <v>910</v>
      </c>
      <c r="C436" s="8" t="s">
        <v>233</v>
      </c>
      <c r="D436" s="8" t="s">
        <v>266</v>
      </c>
      <c r="E436" s="8" t="s">
        <v>443</v>
      </c>
      <c r="F436" s="8">
        <v>2648.5043999999998</v>
      </c>
    </row>
    <row r="437" spans="1:6" ht="15" customHeight="1" x14ac:dyDescent="0.25">
      <c r="A437" s="8">
        <v>10222</v>
      </c>
      <c r="B437" s="8" t="s">
        <v>911</v>
      </c>
      <c r="C437" s="8" t="s">
        <v>180</v>
      </c>
      <c r="D437" s="8" t="s">
        <v>282</v>
      </c>
      <c r="E437" s="8" t="s">
        <v>912</v>
      </c>
      <c r="F437" s="8">
        <v>4453.7695999999996</v>
      </c>
    </row>
    <row r="438" spans="1:6" ht="15" customHeight="1" x14ac:dyDescent="0.25">
      <c r="A438" s="8">
        <v>10416</v>
      </c>
      <c r="B438" s="8" t="s">
        <v>913</v>
      </c>
      <c r="C438" s="8" t="s">
        <v>914</v>
      </c>
      <c r="D438" s="8" t="s">
        <v>257</v>
      </c>
      <c r="E438" s="8" t="s">
        <v>372</v>
      </c>
      <c r="F438" s="8">
        <v>907.2056</v>
      </c>
    </row>
    <row r="439" spans="1:6" ht="15" customHeight="1" x14ac:dyDescent="0.25">
      <c r="A439" s="8">
        <v>10512</v>
      </c>
      <c r="B439" s="8" t="s">
        <v>915</v>
      </c>
      <c r="C439" s="8" t="s">
        <v>355</v>
      </c>
      <c r="D439" s="8" t="s">
        <v>279</v>
      </c>
      <c r="E439" s="8" t="s">
        <v>379</v>
      </c>
      <c r="F439" s="8">
        <v>2177.0448999999999</v>
      </c>
    </row>
    <row r="440" spans="1:6" ht="15" customHeight="1" x14ac:dyDescent="0.25">
      <c r="A440" s="8">
        <v>10385</v>
      </c>
      <c r="B440" s="8" t="s">
        <v>916</v>
      </c>
      <c r="C440" s="8" t="s">
        <v>917</v>
      </c>
      <c r="D440" s="8" t="s">
        <v>205</v>
      </c>
      <c r="E440" s="8" t="s">
        <v>219</v>
      </c>
      <c r="F440" s="8">
        <v>40200</v>
      </c>
    </row>
    <row r="441" spans="1:6" ht="15" customHeight="1" x14ac:dyDescent="0.25">
      <c r="A441" s="8">
        <v>10421</v>
      </c>
      <c r="B441" s="8" t="s">
        <v>918</v>
      </c>
      <c r="C441" s="8" t="s">
        <v>180</v>
      </c>
      <c r="D441" s="8" t="s">
        <v>213</v>
      </c>
      <c r="E441" s="8" t="s">
        <v>919</v>
      </c>
      <c r="F441" s="8">
        <v>118.2128</v>
      </c>
    </row>
    <row r="442" spans="1:6" ht="15" customHeight="1" x14ac:dyDescent="0.25">
      <c r="A442" s="8">
        <v>10648</v>
      </c>
      <c r="B442" s="8" t="s">
        <v>920</v>
      </c>
      <c r="C442" s="8" t="s">
        <v>200</v>
      </c>
      <c r="D442" s="8" t="s">
        <v>201</v>
      </c>
      <c r="E442" s="8" t="s">
        <v>285</v>
      </c>
      <c r="F442" s="8">
        <v>145.73179999999999</v>
      </c>
    </row>
    <row r="443" spans="1:6" ht="15" customHeight="1" x14ac:dyDescent="0.25">
      <c r="A443" s="8">
        <v>10278</v>
      </c>
      <c r="B443" s="8" t="s">
        <v>921</v>
      </c>
      <c r="C443" s="8" t="s">
        <v>187</v>
      </c>
      <c r="D443" s="8" t="s">
        <v>177</v>
      </c>
      <c r="E443" s="8" t="s">
        <v>300</v>
      </c>
      <c r="F443" s="8">
        <v>72.612099999999998</v>
      </c>
    </row>
    <row r="444" spans="1:6" ht="15" customHeight="1" x14ac:dyDescent="0.25">
      <c r="A444" s="8">
        <v>10167</v>
      </c>
      <c r="B444" s="8" t="s">
        <v>922</v>
      </c>
      <c r="C444" s="8" t="s">
        <v>180</v>
      </c>
      <c r="D444" s="8" t="s">
        <v>282</v>
      </c>
      <c r="E444" s="8" t="s">
        <v>912</v>
      </c>
      <c r="F444" s="8">
        <v>1211.5206000000001</v>
      </c>
    </row>
    <row r="445" spans="1:6" ht="15" customHeight="1" x14ac:dyDescent="0.25">
      <c r="A445" s="8">
        <v>10189</v>
      </c>
      <c r="B445" s="8" t="s">
        <v>923</v>
      </c>
      <c r="C445" s="8" t="s">
        <v>180</v>
      </c>
      <c r="D445" s="8" t="s">
        <v>282</v>
      </c>
      <c r="E445" s="8" t="s">
        <v>912</v>
      </c>
      <c r="F445" s="8">
        <v>280.60539999999997</v>
      </c>
    </row>
    <row r="446" spans="1:6" ht="15" customHeight="1" x14ac:dyDescent="0.25">
      <c r="A446" s="8">
        <v>10003</v>
      </c>
      <c r="B446" s="8" t="s">
        <v>924</v>
      </c>
      <c r="C446" s="8" t="s">
        <v>566</v>
      </c>
      <c r="D446" s="8" t="s">
        <v>261</v>
      </c>
      <c r="E446" s="8" t="s">
        <v>262</v>
      </c>
      <c r="F446" s="8">
        <v>32028.424599999998</v>
      </c>
    </row>
    <row r="447" spans="1:6" ht="15" customHeight="1" x14ac:dyDescent="0.25">
      <c r="A447" s="8">
        <v>10429</v>
      </c>
      <c r="B447" s="8" t="s">
        <v>925</v>
      </c>
      <c r="C447" s="8" t="s">
        <v>729</v>
      </c>
      <c r="D447" s="8" t="s">
        <v>213</v>
      </c>
      <c r="E447" s="8" t="s">
        <v>869</v>
      </c>
      <c r="F447" s="8">
        <v>317.31450000000001</v>
      </c>
    </row>
    <row r="448" spans="1:6" ht="15" customHeight="1" x14ac:dyDescent="0.25">
      <c r="A448" s="8">
        <v>10074</v>
      </c>
      <c r="B448" s="8" t="s">
        <v>926</v>
      </c>
      <c r="C448" s="8" t="s">
        <v>187</v>
      </c>
      <c r="D448" s="8" t="s">
        <v>197</v>
      </c>
      <c r="E448" s="8" t="s">
        <v>264</v>
      </c>
      <c r="F448" s="8">
        <v>8781</v>
      </c>
    </row>
    <row r="449" spans="1:6" ht="15" customHeight="1" x14ac:dyDescent="0.25">
      <c r="A449" s="8">
        <v>10081</v>
      </c>
      <c r="B449" s="8" t="s">
        <v>927</v>
      </c>
      <c r="C449" s="8" t="s">
        <v>192</v>
      </c>
      <c r="D449" s="8" t="s">
        <v>340</v>
      </c>
      <c r="E449" s="8" t="s">
        <v>928</v>
      </c>
      <c r="F449" s="8">
        <v>36998.699999999997</v>
      </c>
    </row>
    <row r="450" spans="1:6" ht="15" customHeight="1" x14ac:dyDescent="0.25">
      <c r="A450" s="8">
        <v>10022</v>
      </c>
      <c r="B450" s="8" t="s">
        <v>929</v>
      </c>
      <c r="C450" s="8" t="s">
        <v>930</v>
      </c>
      <c r="D450" s="8" t="s">
        <v>261</v>
      </c>
      <c r="E450" s="8" t="s">
        <v>931</v>
      </c>
      <c r="F450" s="8">
        <v>1020320</v>
      </c>
    </row>
    <row r="451" spans="1:6" ht="15" customHeight="1" x14ac:dyDescent="0.25">
      <c r="A451" s="8">
        <v>10405</v>
      </c>
      <c r="B451" s="8" t="s">
        <v>932</v>
      </c>
      <c r="C451" s="8" t="s">
        <v>504</v>
      </c>
      <c r="D451" s="8" t="s">
        <v>257</v>
      </c>
      <c r="E451" s="8" t="s">
        <v>258</v>
      </c>
      <c r="F451" s="8">
        <v>2500</v>
      </c>
    </row>
    <row r="452" spans="1:6" ht="15" customHeight="1" x14ac:dyDescent="0.25">
      <c r="A452" s="8">
        <v>10931</v>
      </c>
      <c r="B452" s="8" t="s">
        <v>933</v>
      </c>
      <c r="C452" s="8" t="s">
        <v>226</v>
      </c>
      <c r="D452" s="8" t="s">
        <v>227</v>
      </c>
      <c r="E452" s="8" t="s">
        <v>934</v>
      </c>
      <c r="F452" s="8">
        <v>410.05599999999998</v>
      </c>
    </row>
    <row r="453" spans="1:6" ht="15" customHeight="1" x14ac:dyDescent="0.25">
      <c r="A453" s="8">
        <v>10136</v>
      </c>
      <c r="B453" s="8" t="s">
        <v>935</v>
      </c>
      <c r="C453" s="8" t="s">
        <v>233</v>
      </c>
      <c r="D453" s="8" t="s">
        <v>181</v>
      </c>
      <c r="E453" s="8" t="s">
        <v>185</v>
      </c>
      <c r="F453" s="8">
        <v>3394.46</v>
      </c>
    </row>
    <row r="454" spans="1:6" ht="15" customHeight="1" x14ac:dyDescent="0.25">
      <c r="A454" s="8">
        <v>11788</v>
      </c>
      <c r="B454" s="8" t="s">
        <v>936</v>
      </c>
      <c r="C454" s="8" t="s">
        <v>563</v>
      </c>
      <c r="D454" s="8" t="s">
        <v>261</v>
      </c>
      <c r="E454" s="8" t="s">
        <v>324</v>
      </c>
      <c r="F454" s="8">
        <v>1201.5829000000001</v>
      </c>
    </row>
    <row r="455" spans="1:6" ht="15" customHeight="1" x14ac:dyDescent="0.25">
      <c r="A455" s="8">
        <v>10344</v>
      </c>
      <c r="B455" s="8" t="s">
        <v>937</v>
      </c>
      <c r="C455" s="8" t="s">
        <v>176</v>
      </c>
      <c r="D455" s="8" t="s">
        <v>177</v>
      </c>
      <c r="E455" s="8" t="s">
        <v>273</v>
      </c>
      <c r="F455" s="8">
        <v>5723</v>
      </c>
    </row>
    <row r="456" spans="1:6" ht="15" customHeight="1" x14ac:dyDescent="0.25">
      <c r="A456" s="8">
        <v>10047</v>
      </c>
      <c r="B456" s="8" t="s">
        <v>938</v>
      </c>
      <c r="C456" s="8" t="s">
        <v>196</v>
      </c>
      <c r="D456" s="8" t="s">
        <v>197</v>
      </c>
      <c r="E456" s="8" t="s">
        <v>298</v>
      </c>
      <c r="F456" s="8">
        <v>168.7569</v>
      </c>
    </row>
    <row r="457" spans="1:6" ht="15" customHeight="1" x14ac:dyDescent="0.25">
      <c r="A457" s="8">
        <v>10997</v>
      </c>
      <c r="B457" s="8" t="s">
        <v>939</v>
      </c>
      <c r="C457" s="8" t="s">
        <v>355</v>
      </c>
      <c r="D457" s="8" t="s">
        <v>279</v>
      </c>
      <c r="E457" s="8" t="s">
        <v>356</v>
      </c>
      <c r="F457" s="8">
        <v>109.2914</v>
      </c>
    </row>
    <row r="458" spans="1:6" ht="15" customHeight="1" x14ac:dyDescent="0.25">
      <c r="A458" s="8">
        <v>10541</v>
      </c>
      <c r="B458" s="8" t="s">
        <v>940</v>
      </c>
      <c r="C458" s="8" t="s">
        <v>482</v>
      </c>
      <c r="D458" s="8" t="s">
        <v>279</v>
      </c>
      <c r="E458" s="8" t="s">
        <v>379</v>
      </c>
      <c r="F458" s="8">
        <v>7819.1342999999997</v>
      </c>
    </row>
    <row r="459" spans="1:6" ht="15" customHeight="1" x14ac:dyDescent="0.25">
      <c r="A459" s="8">
        <v>10740</v>
      </c>
      <c r="B459" s="8" t="s">
        <v>941</v>
      </c>
      <c r="C459" s="8" t="s">
        <v>243</v>
      </c>
      <c r="D459" s="8" t="s">
        <v>251</v>
      </c>
      <c r="E459" s="8" t="s">
        <v>942</v>
      </c>
      <c r="F459" s="8">
        <v>17.438800000000001</v>
      </c>
    </row>
    <row r="460" spans="1:6" ht="15" customHeight="1" x14ac:dyDescent="0.25">
      <c r="A460" s="8">
        <v>10742</v>
      </c>
      <c r="B460" s="8" t="s">
        <v>943</v>
      </c>
      <c r="C460" s="8" t="s">
        <v>944</v>
      </c>
      <c r="D460" s="8" t="s">
        <v>945</v>
      </c>
      <c r="E460" s="8" t="s">
        <v>946</v>
      </c>
      <c r="F460" s="8">
        <v>264800</v>
      </c>
    </row>
    <row r="461" spans="1:6" ht="15" customHeight="1" x14ac:dyDescent="0.25">
      <c r="A461" s="8">
        <v>10173</v>
      </c>
      <c r="B461" s="8" t="s">
        <v>947</v>
      </c>
      <c r="C461" s="8" t="s">
        <v>312</v>
      </c>
      <c r="D461" s="8" t="s">
        <v>282</v>
      </c>
      <c r="E461" s="8" t="s">
        <v>819</v>
      </c>
      <c r="F461" s="8">
        <v>1471.7</v>
      </c>
    </row>
    <row r="462" spans="1:6" ht="15" customHeight="1" x14ac:dyDescent="0.25">
      <c r="A462" s="8">
        <v>10612</v>
      </c>
      <c r="B462" s="8" t="s">
        <v>948</v>
      </c>
      <c r="C462" s="8" t="s">
        <v>233</v>
      </c>
      <c r="D462" s="8" t="s">
        <v>266</v>
      </c>
      <c r="E462" s="8" t="s">
        <v>400</v>
      </c>
      <c r="F462" s="8">
        <v>723.91740000000004</v>
      </c>
    </row>
    <row r="463" spans="1:6" ht="15" customHeight="1" x14ac:dyDescent="0.25">
      <c r="A463" s="8">
        <v>11181</v>
      </c>
      <c r="B463" s="8" t="s">
        <v>949</v>
      </c>
      <c r="C463" s="8" t="s">
        <v>233</v>
      </c>
      <c r="D463" s="8" t="s">
        <v>251</v>
      </c>
      <c r="E463" s="8" t="s">
        <v>581</v>
      </c>
      <c r="F463" s="8">
        <v>2682.0225</v>
      </c>
    </row>
    <row r="464" spans="1:6" ht="15" customHeight="1" x14ac:dyDescent="0.25">
      <c r="A464" s="8">
        <v>10568</v>
      </c>
      <c r="B464" s="8" t="s">
        <v>950</v>
      </c>
      <c r="C464" s="8" t="s">
        <v>233</v>
      </c>
      <c r="D464" s="8" t="s">
        <v>266</v>
      </c>
      <c r="E464" s="8" t="s">
        <v>267</v>
      </c>
      <c r="F464" s="8">
        <v>5949.25</v>
      </c>
    </row>
    <row r="465" spans="1:6" ht="15" customHeight="1" x14ac:dyDescent="0.25">
      <c r="A465" s="8">
        <v>10261</v>
      </c>
      <c r="B465" s="8" t="s">
        <v>951</v>
      </c>
      <c r="C465" s="8" t="s">
        <v>176</v>
      </c>
      <c r="D465" s="8" t="s">
        <v>177</v>
      </c>
      <c r="E465" s="8" t="s">
        <v>952</v>
      </c>
      <c r="F465" s="8">
        <v>2466.4749999999999</v>
      </c>
    </row>
    <row r="466" spans="1:6" ht="15" customHeight="1" x14ac:dyDescent="0.25">
      <c r="A466" s="8">
        <v>10721</v>
      </c>
      <c r="B466" s="8" t="s">
        <v>953</v>
      </c>
      <c r="C466" s="8" t="s">
        <v>243</v>
      </c>
      <c r="D466" s="8" t="s">
        <v>251</v>
      </c>
      <c r="E466" s="8" t="s">
        <v>954</v>
      </c>
      <c r="F466" s="8">
        <v>108.5642</v>
      </c>
    </row>
    <row r="467" spans="1:6" ht="15" customHeight="1" x14ac:dyDescent="0.25">
      <c r="A467" s="8">
        <v>11190</v>
      </c>
      <c r="B467" s="8" t="s">
        <v>955</v>
      </c>
      <c r="C467" s="8" t="s">
        <v>243</v>
      </c>
      <c r="D467" s="8" t="s">
        <v>251</v>
      </c>
      <c r="E467" s="8" t="s">
        <v>304</v>
      </c>
      <c r="F467" s="8">
        <v>18.675999999999998</v>
      </c>
    </row>
    <row r="468" spans="1:6" ht="15" customHeight="1" x14ac:dyDescent="0.25">
      <c r="A468" s="8">
        <v>10426</v>
      </c>
      <c r="B468" s="8" t="s">
        <v>956</v>
      </c>
      <c r="C468" s="8" t="s">
        <v>200</v>
      </c>
      <c r="D468" s="8" t="s">
        <v>213</v>
      </c>
      <c r="E468" s="8" t="s">
        <v>957</v>
      </c>
      <c r="F468" s="8">
        <v>290.2183</v>
      </c>
    </row>
    <row r="469" spans="1:6" ht="15" customHeight="1" x14ac:dyDescent="0.25">
      <c r="A469" s="8">
        <v>10489</v>
      </c>
      <c r="B469" s="8" t="s">
        <v>958</v>
      </c>
      <c r="C469" s="8" t="s">
        <v>355</v>
      </c>
      <c r="D469" s="8" t="s">
        <v>279</v>
      </c>
      <c r="E469" s="8" t="s">
        <v>379</v>
      </c>
      <c r="F469" s="8">
        <v>594.28579999999999</v>
      </c>
    </row>
    <row r="470" spans="1:6" ht="15" customHeight="1" x14ac:dyDescent="0.25">
      <c r="A470" s="8">
        <v>10461</v>
      </c>
      <c r="B470" s="8" t="s">
        <v>959</v>
      </c>
      <c r="C470" s="8" t="s">
        <v>226</v>
      </c>
      <c r="D470" s="8" t="s">
        <v>227</v>
      </c>
      <c r="E470" s="8" t="s">
        <v>405</v>
      </c>
      <c r="F470" s="8">
        <v>226.1234</v>
      </c>
    </row>
    <row r="471" spans="1:6" ht="15" customHeight="1" x14ac:dyDescent="0.25">
      <c r="A471" s="8">
        <v>10161</v>
      </c>
      <c r="B471" s="8" t="s">
        <v>960</v>
      </c>
      <c r="C471" s="8" t="s">
        <v>882</v>
      </c>
      <c r="D471" s="8" t="s">
        <v>282</v>
      </c>
      <c r="E471" s="8" t="s">
        <v>961</v>
      </c>
      <c r="F471" s="8">
        <v>138.8115</v>
      </c>
    </row>
    <row r="472" spans="1:6" ht="15" customHeight="1" x14ac:dyDescent="0.25">
      <c r="A472" s="8">
        <v>10516</v>
      </c>
      <c r="B472" s="8" t="s">
        <v>962</v>
      </c>
      <c r="C472" s="8" t="s">
        <v>627</v>
      </c>
      <c r="D472" s="8" t="s">
        <v>279</v>
      </c>
      <c r="E472" s="8" t="s">
        <v>963</v>
      </c>
      <c r="F472" s="8">
        <v>906.82979999999998</v>
      </c>
    </row>
    <row r="473" spans="1:6" ht="15" customHeight="1" x14ac:dyDescent="0.25">
      <c r="A473" s="8">
        <v>10533</v>
      </c>
      <c r="B473" s="8" t="s">
        <v>964</v>
      </c>
      <c r="C473" s="8" t="s">
        <v>965</v>
      </c>
      <c r="D473" s="8" t="s">
        <v>279</v>
      </c>
      <c r="E473" s="8" t="s">
        <v>966</v>
      </c>
      <c r="F473" s="8">
        <v>18491.232499999998</v>
      </c>
    </row>
    <row r="474" spans="1:6" ht="15" customHeight="1" x14ac:dyDescent="0.25">
      <c r="A474" s="8">
        <v>10618</v>
      </c>
      <c r="B474" s="8" t="s">
        <v>967</v>
      </c>
      <c r="C474" s="8" t="s">
        <v>243</v>
      </c>
      <c r="D474" s="8" t="s">
        <v>244</v>
      </c>
      <c r="E474" s="8" t="s">
        <v>611</v>
      </c>
      <c r="F474" s="8">
        <v>49.459899999999998</v>
      </c>
    </row>
    <row r="475" spans="1:6" ht="15" customHeight="1" x14ac:dyDescent="0.25">
      <c r="A475" s="8">
        <v>10258</v>
      </c>
      <c r="B475" s="8" t="s">
        <v>968</v>
      </c>
      <c r="C475" s="8" t="s">
        <v>176</v>
      </c>
      <c r="D475" s="8" t="s">
        <v>177</v>
      </c>
      <c r="E475" s="8" t="s">
        <v>178</v>
      </c>
      <c r="F475" s="8">
        <v>2400.1260000000002</v>
      </c>
    </row>
    <row r="476" spans="1:6" ht="15" customHeight="1" x14ac:dyDescent="0.25">
      <c r="A476" s="8">
        <v>10285</v>
      </c>
      <c r="B476" s="8" t="s">
        <v>969</v>
      </c>
      <c r="C476" s="8" t="s">
        <v>176</v>
      </c>
      <c r="D476" s="8" t="s">
        <v>177</v>
      </c>
      <c r="E476" s="8" t="s">
        <v>300</v>
      </c>
      <c r="F476" s="8">
        <v>1017</v>
      </c>
    </row>
    <row r="477" spans="1:6" ht="15" customHeight="1" x14ac:dyDescent="0.25">
      <c r="A477" s="8">
        <v>10514</v>
      </c>
      <c r="B477" s="8" t="s">
        <v>970</v>
      </c>
      <c r="C477" s="8" t="s">
        <v>482</v>
      </c>
      <c r="D477" s="8" t="s">
        <v>279</v>
      </c>
      <c r="E477" s="8" t="s">
        <v>379</v>
      </c>
      <c r="F477" s="8">
        <v>28413.664799999999</v>
      </c>
    </row>
    <row r="478" spans="1:6" ht="15" customHeight="1" x14ac:dyDescent="0.25">
      <c r="A478" s="8">
        <v>10282</v>
      </c>
      <c r="B478" s="8" t="s">
        <v>971</v>
      </c>
      <c r="C478" s="8" t="s">
        <v>972</v>
      </c>
      <c r="D478" s="8" t="s">
        <v>177</v>
      </c>
      <c r="E478" s="8" t="s">
        <v>396</v>
      </c>
      <c r="F478" s="8">
        <v>16700</v>
      </c>
    </row>
    <row r="479" spans="1:6" ht="15" customHeight="1" x14ac:dyDescent="0.25">
      <c r="A479" s="8">
        <v>10267</v>
      </c>
      <c r="B479" s="8" t="s">
        <v>973</v>
      </c>
      <c r="C479" s="8" t="s">
        <v>176</v>
      </c>
      <c r="D479" s="8" t="s">
        <v>177</v>
      </c>
      <c r="E479" s="8" t="s">
        <v>273</v>
      </c>
      <c r="F479" s="8">
        <v>6610</v>
      </c>
    </row>
    <row r="480" spans="1:6" ht="15" customHeight="1" x14ac:dyDescent="0.25">
      <c r="A480" s="8">
        <v>10641</v>
      </c>
      <c r="B480" s="8" t="s">
        <v>974</v>
      </c>
      <c r="C480" s="8" t="s">
        <v>200</v>
      </c>
      <c r="D480" s="8" t="s">
        <v>201</v>
      </c>
      <c r="E480" s="8" t="s">
        <v>285</v>
      </c>
      <c r="F480" s="8">
        <v>458.35809999999998</v>
      </c>
    </row>
    <row r="481" spans="1:6" ht="15" customHeight="1" x14ac:dyDescent="0.25">
      <c r="A481" s="8">
        <v>11065</v>
      </c>
      <c r="B481" s="8" t="s">
        <v>975</v>
      </c>
      <c r="C481" s="8" t="s">
        <v>355</v>
      </c>
      <c r="D481" s="8" t="s">
        <v>266</v>
      </c>
      <c r="E481" s="8" t="s">
        <v>360</v>
      </c>
      <c r="F481" s="8">
        <v>347.17970000000003</v>
      </c>
    </row>
    <row r="482" spans="1:6" ht="15" customHeight="1" x14ac:dyDescent="0.25">
      <c r="A482" s="8">
        <v>11605</v>
      </c>
      <c r="B482" s="8" t="s">
        <v>976</v>
      </c>
      <c r="C482" s="8" t="s">
        <v>243</v>
      </c>
      <c r="D482" s="8" t="s">
        <v>193</v>
      </c>
      <c r="E482" s="8" t="s">
        <v>977</v>
      </c>
      <c r="F482" s="8">
        <v>58.433100000000003</v>
      </c>
    </row>
    <row r="483" spans="1:6" ht="15" customHeight="1" x14ac:dyDescent="0.25">
      <c r="A483" s="8">
        <v>10118</v>
      </c>
      <c r="B483" s="8" t="s">
        <v>978</v>
      </c>
      <c r="C483" s="8" t="s">
        <v>184</v>
      </c>
      <c r="D483" s="8" t="s">
        <v>181</v>
      </c>
      <c r="E483" s="8" t="s">
        <v>289</v>
      </c>
      <c r="F483" s="8">
        <v>1459.202</v>
      </c>
    </row>
    <row r="484" spans="1:6" ht="15" customHeight="1" x14ac:dyDescent="0.25">
      <c r="A484" s="8">
        <v>10653</v>
      </c>
      <c r="B484" s="8" t="s">
        <v>979</v>
      </c>
      <c r="C484" s="8" t="s">
        <v>200</v>
      </c>
      <c r="D484" s="8" t="s">
        <v>201</v>
      </c>
      <c r="E484" s="8" t="s">
        <v>377</v>
      </c>
      <c r="F484" s="8">
        <v>592.91110000000003</v>
      </c>
    </row>
    <row r="485" spans="1:6" ht="15" customHeight="1" x14ac:dyDescent="0.25">
      <c r="A485" s="8">
        <v>10901</v>
      </c>
      <c r="B485" s="8" t="s">
        <v>980</v>
      </c>
      <c r="C485" s="8" t="s">
        <v>981</v>
      </c>
      <c r="D485" s="8" t="s">
        <v>982</v>
      </c>
      <c r="E485" s="8" t="s">
        <v>983</v>
      </c>
      <c r="F485" s="8">
        <v>206.8049</v>
      </c>
    </row>
    <row r="486" spans="1:6" ht="15" customHeight="1" x14ac:dyDescent="0.25">
      <c r="A486" s="8">
        <v>10367</v>
      </c>
      <c r="B486" s="8" t="s">
        <v>984</v>
      </c>
      <c r="C486" s="8" t="s">
        <v>981</v>
      </c>
      <c r="D486" s="8" t="s">
        <v>982</v>
      </c>
      <c r="E486" s="8" t="s">
        <v>985</v>
      </c>
      <c r="F486" s="8">
        <v>200.2741</v>
      </c>
    </row>
    <row r="487" spans="1:6" ht="15" customHeight="1" x14ac:dyDescent="0.25">
      <c r="A487" s="8">
        <v>10190</v>
      </c>
      <c r="B487" s="8" t="s">
        <v>986</v>
      </c>
      <c r="C487" s="8" t="s">
        <v>187</v>
      </c>
      <c r="D487" s="8" t="s">
        <v>282</v>
      </c>
      <c r="E487" s="8" t="s">
        <v>987</v>
      </c>
      <c r="F487" s="8">
        <v>10972</v>
      </c>
    </row>
    <row r="488" spans="1:6" ht="15" customHeight="1" x14ac:dyDescent="0.25">
      <c r="A488" s="8">
        <v>10572</v>
      </c>
      <c r="B488" s="8" t="s">
        <v>988</v>
      </c>
      <c r="C488" s="8" t="s">
        <v>180</v>
      </c>
      <c r="D488" s="8" t="s">
        <v>266</v>
      </c>
      <c r="E488" s="8" t="s">
        <v>887</v>
      </c>
      <c r="F488" s="8">
        <v>234.42</v>
      </c>
    </row>
    <row r="489" spans="1:6" ht="15" customHeight="1" x14ac:dyDescent="0.25">
      <c r="A489" s="8">
        <v>10741</v>
      </c>
      <c r="B489" s="8" t="s">
        <v>989</v>
      </c>
      <c r="C489" s="8" t="s">
        <v>243</v>
      </c>
      <c r="D489" s="8" t="s">
        <v>251</v>
      </c>
      <c r="E489" s="8" t="s">
        <v>990</v>
      </c>
      <c r="F489" s="8">
        <v>110.9096</v>
      </c>
    </row>
    <row r="490" spans="1:6" ht="15" customHeight="1" x14ac:dyDescent="0.25">
      <c r="A490" s="8">
        <v>10354</v>
      </c>
      <c r="B490" s="8" t="s">
        <v>991</v>
      </c>
      <c r="C490" s="8" t="s">
        <v>972</v>
      </c>
      <c r="D490" s="8" t="s">
        <v>177</v>
      </c>
      <c r="E490" s="8" t="s">
        <v>425</v>
      </c>
      <c r="F490" s="8">
        <v>254.01490000000001</v>
      </c>
    </row>
    <row r="491" spans="1:6" ht="15" customHeight="1" x14ac:dyDescent="0.25">
      <c r="A491" s="8">
        <v>11128</v>
      </c>
      <c r="B491" s="8" t="s">
        <v>992</v>
      </c>
      <c r="C491" s="8" t="s">
        <v>200</v>
      </c>
      <c r="D491" s="8" t="s">
        <v>201</v>
      </c>
      <c r="E491" s="8" t="s">
        <v>285</v>
      </c>
      <c r="F491" s="8">
        <v>31.171299999999999</v>
      </c>
    </row>
    <row r="492" spans="1:6" ht="15" customHeight="1" x14ac:dyDescent="0.25">
      <c r="A492" s="8">
        <v>10116</v>
      </c>
      <c r="B492" s="8" t="s">
        <v>993</v>
      </c>
      <c r="C492" s="8" t="s">
        <v>180</v>
      </c>
      <c r="D492" s="8" t="s">
        <v>181</v>
      </c>
      <c r="E492" s="8" t="s">
        <v>185</v>
      </c>
      <c r="F492" s="8">
        <v>588.5</v>
      </c>
    </row>
    <row r="493" spans="1:6" ht="15" customHeight="1" x14ac:dyDescent="0.25">
      <c r="A493" s="8">
        <v>10807</v>
      </c>
      <c r="B493" s="8" t="s">
        <v>994</v>
      </c>
      <c r="C493" s="8" t="s">
        <v>995</v>
      </c>
      <c r="D493" s="8" t="s">
        <v>340</v>
      </c>
      <c r="E493" s="8" t="s">
        <v>234</v>
      </c>
      <c r="F493" s="8">
        <v>312.5</v>
      </c>
    </row>
    <row r="494" spans="1:6" ht="15" customHeight="1" x14ac:dyDescent="0.25">
      <c r="A494" s="8">
        <v>10517</v>
      </c>
      <c r="B494" s="8" t="s">
        <v>996</v>
      </c>
      <c r="C494" s="8" t="s">
        <v>278</v>
      </c>
      <c r="D494" s="8" t="s">
        <v>279</v>
      </c>
      <c r="E494" s="8" t="s">
        <v>997</v>
      </c>
      <c r="F494" s="8">
        <v>248.0575</v>
      </c>
    </row>
    <row r="495" spans="1:6" ht="15" customHeight="1" x14ac:dyDescent="0.25">
      <c r="A495" s="8">
        <v>10714</v>
      </c>
      <c r="B495" s="8" t="s">
        <v>998</v>
      </c>
      <c r="C495" s="8" t="s">
        <v>243</v>
      </c>
      <c r="D495" s="8" t="s">
        <v>251</v>
      </c>
      <c r="E495" s="8" t="s">
        <v>460</v>
      </c>
      <c r="F495" s="8">
        <v>117.26300000000001</v>
      </c>
    </row>
    <row r="496" spans="1:6" ht="15" customHeight="1" x14ac:dyDescent="0.25">
      <c r="A496" s="8">
        <v>10495</v>
      </c>
      <c r="B496" s="8" t="s">
        <v>999</v>
      </c>
      <c r="C496" s="8" t="s">
        <v>355</v>
      </c>
      <c r="D496" s="8" t="s">
        <v>279</v>
      </c>
      <c r="E496" s="8" t="s">
        <v>356</v>
      </c>
      <c r="F496" s="8">
        <v>566.41999999999996</v>
      </c>
    </row>
    <row r="497" spans="1:6" ht="15" customHeight="1" x14ac:dyDescent="0.25">
      <c r="A497" s="8">
        <v>10565</v>
      </c>
      <c r="B497" s="8" t="s">
        <v>1000</v>
      </c>
      <c r="C497" s="8" t="s">
        <v>1001</v>
      </c>
      <c r="D497" s="8" t="s">
        <v>266</v>
      </c>
      <c r="E497" s="8" t="s">
        <v>588</v>
      </c>
      <c r="F497" s="8">
        <v>72.125</v>
      </c>
    </row>
    <row r="498" spans="1:6" ht="15" customHeight="1" x14ac:dyDescent="0.25">
      <c r="A498" s="8">
        <v>10896</v>
      </c>
      <c r="B498" s="8" t="s">
        <v>1002</v>
      </c>
      <c r="C498" s="8" t="s">
        <v>196</v>
      </c>
      <c r="D498" s="8" t="s">
        <v>230</v>
      </c>
      <c r="E498" s="8" t="s">
        <v>1003</v>
      </c>
      <c r="F498" s="8">
        <v>110</v>
      </c>
    </row>
    <row r="499" spans="1:6" ht="15" customHeight="1" x14ac:dyDescent="0.25">
      <c r="A499" s="8">
        <v>11136</v>
      </c>
      <c r="B499" s="8" t="s">
        <v>1004</v>
      </c>
      <c r="C499" s="8" t="s">
        <v>200</v>
      </c>
      <c r="D499" s="8" t="s">
        <v>201</v>
      </c>
      <c r="E499" s="8" t="s">
        <v>216</v>
      </c>
      <c r="F499" s="8">
        <v>128.10480000000001</v>
      </c>
    </row>
    <row r="500" spans="1:6" ht="15" customHeight="1" x14ac:dyDescent="0.25">
      <c r="A500" s="8">
        <v>10113</v>
      </c>
      <c r="B500" s="8" t="s">
        <v>1005</v>
      </c>
      <c r="C500" s="8" t="s">
        <v>530</v>
      </c>
      <c r="D500" s="8" t="s">
        <v>181</v>
      </c>
      <c r="E500" s="8" t="s">
        <v>185</v>
      </c>
      <c r="F500" s="8">
        <v>28517.513200000001</v>
      </c>
    </row>
    <row r="501" spans="1:6" ht="15" customHeight="1" x14ac:dyDescent="0.25">
      <c r="A501" s="8">
        <v>10958</v>
      </c>
      <c r="B501" s="8" t="s">
        <v>1006</v>
      </c>
      <c r="C501" s="8" t="s">
        <v>1007</v>
      </c>
      <c r="D501" s="8" t="s">
        <v>227</v>
      </c>
      <c r="E501" s="8" t="s">
        <v>405</v>
      </c>
      <c r="F501" s="8">
        <v>557.74800000000005</v>
      </c>
    </row>
    <row r="502" spans="1:6" ht="15" customHeight="1" x14ac:dyDescent="0.25">
      <c r="A502" s="8">
        <v>10717</v>
      </c>
      <c r="B502" s="8" t="s">
        <v>1008</v>
      </c>
      <c r="C502" s="8" t="s">
        <v>272</v>
      </c>
      <c r="D502" s="8" t="s">
        <v>251</v>
      </c>
      <c r="E502" s="8" t="s">
        <v>308</v>
      </c>
      <c r="F502" s="8">
        <v>2240</v>
      </c>
    </row>
    <row r="503" spans="1:6" ht="15" customHeight="1" x14ac:dyDescent="0.25">
      <c r="A503" s="8">
        <v>10763</v>
      </c>
      <c r="B503" s="8" t="s">
        <v>1009</v>
      </c>
      <c r="C503" s="8" t="s">
        <v>1010</v>
      </c>
      <c r="D503" s="8" t="s">
        <v>209</v>
      </c>
      <c r="E503" s="8" t="s">
        <v>222</v>
      </c>
      <c r="F503" s="8">
        <v>24819.968199999999</v>
      </c>
    </row>
    <row r="504" spans="1:6" ht="15" customHeight="1" x14ac:dyDescent="0.25">
      <c r="A504" s="8">
        <v>10923</v>
      </c>
      <c r="B504" s="8" t="s">
        <v>1011</v>
      </c>
      <c r="C504" s="8" t="s">
        <v>226</v>
      </c>
      <c r="D504" s="8" t="s">
        <v>227</v>
      </c>
      <c r="E504" s="8" t="s">
        <v>405</v>
      </c>
      <c r="F504" s="8">
        <v>84.649900000000002</v>
      </c>
    </row>
    <row r="505" spans="1:6" ht="15" customHeight="1" x14ac:dyDescent="0.25">
      <c r="A505" s="8">
        <v>10203</v>
      </c>
      <c r="B505" s="8" t="s">
        <v>1012</v>
      </c>
      <c r="C505" s="8" t="s">
        <v>627</v>
      </c>
      <c r="D505" s="8" t="s">
        <v>282</v>
      </c>
      <c r="E505" s="8" t="s">
        <v>1013</v>
      </c>
      <c r="F505" s="8">
        <v>42.5</v>
      </c>
    </row>
    <row r="506" spans="1:6" ht="15" customHeight="1" x14ac:dyDescent="0.25">
      <c r="A506" s="8">
        <v>10336</v>
      </c>
      <c r="B506" s="8" t="s">
        <v>1014</v>
      </c>
      <c r="C506" s="8" t="s">
        <v>176</v>
      </c>
      <c r="D506" s="8" t="s">
        <v>177</v>
      </c>
      <c r="E506" s="8" t="s">
        <v>178</v>
      </c>
      <c r="F506" s="8">
        <v>47500</v>
      </c>
    </row>
    <row r="507" spans="1:6" ht="15" customHeight="1" x14ac:dyDescent="0.25">
      <c r="A507" s="8">
        <v>10627</v>
      </c>
      <c r="B507" s="8" t="s">
        <v>1015</v>
      </c>
      <c r="C507" s="8" t="s">
        <v>200</v>
      </c>
      <c r="D507" s="8" t="s">
        <v>201</v>
      </c>
      <c r="E507" s="8" t="s">
        <v>285</v>
      </c>
      <c r="F507" s="8">
        <v>317.55340000000001</v>
      </c>
    </row>
    <row r="508" spans="1:6" ht="15" customHeight="1" x14ac:dyDescent="0.25">
      <c r="A508" s="8">
        <v>10448</v>
      </c>
      <c r="B508" s="8" t="s">
        <v>1016</v>
      </c>
      <c r="C508" s="8" t="s">
        <v>226</v>
      </c>
      <c r="D508" s="8" t="s">
        <v>227</v>
      </c>
      <c r="E508" s="8" t="s">
        <v>719</v>
      </c>
      <c r="F508" s="8">
        <v>649.14279999999997</v>
      </c>
    </row>
    <row r="509" spans="1:6" ht="15" customHeight="1" x14ac:dyDescent="0.25">
      <c r="A509" s="8">
        <v>10478</v>
      </c>
      <c r="B509" s="8" t="s">
        <v>1017</v>
      </c>
      <c r="C509" s="8" t="s">
        <v>319</v>
      </c>
      <c r="D509" s="8" t="s">
        <v>320</v>
      </c>
      <c r="E509" s="8" t="s">
        <v>407</v>
      </c>
      <c r="F509" s="8">
        <v>38812.001900000003</v>
      </c>
    </row>
    <row r="510" spans="1:6" ht="15" customHeight="1" x14ac:dyDescent="0.25">
      <c r="A510" s="8">
        <v>10571</v>
      </c>
      <c r="B510" s="8" t="s">
        <v>1018</v>
      </c>
      <c r="C510" s="8" t="s">
        <v>355</v>
      </c>
      <c r="D510" s="8" t="s">
        <v>266</v>
      </c>
      <c r="E510" s="8" t="s">
        <v>1019</v>
      </c>
      <c r="F510" s="8">
        <v>834.37609999999995</v>
      </c>
    </row>
    <row r="511" spans="1:6" ht="15" customHeight="1" x14ac:dyDescent="0.25">
      <c r="A511" s="8">
        <v>10140</v>
      </c>
      <c r="B511" s="8" t="s">
        <v>1020</v>
      </c>
      <c r="C511" s="8" t="s">
        <v>184</v>
      </c>
      <c r="D511" s="8" t="s">
        <v>181</v>
      </c>
      <c r="E511" s="8" t="s">
        <v>289</v>
      </c>
      <c r="F511" s="8">
        <v>2456.7962000000002</v>
      </c>
    </row>
    <row r="512" spans="1:6" ht="15" customHeight="1" x14ac:dyDescent="0.25">
      <c r="A512" s="8">
        <v>11021</v>
      </c>
      <c r="B512" s="8" t="s">
        <v>1021</v>
      </c>
      <c r="C512" s="8" t="s">
        <v>233</v>
      </c>
      <c r="D512" s="8" t="s">
        <v>266</v>
      </c>
      <c r="E512" s="8" t="s">
        <v>360</v>
      </c>
      <c r="F512" s="8">
        <v>20.3215</v>
      </c>
    </row>
    <row r="513" spans="1:6" ht="15" customHeight="1" x14ac:dyDescent="0.25">
      <c r="A513" s="8">
        <v>10302</v>
      </c>
      <c r="B513" s="8" t="s">
        <v>1022</v>
      </c>
      <c r="C513" s="8" t="s">
        <v>187</v>
      </c>
      <c r="D513" s="8" t="s">
        <v>177</v>
      </c>
      <c r="E513" s="8" t="s">
        <v>952</v>
      </c>
      <c r="F513" s="8">
        <v>846.89909999999998</v>
      </c>
    </row>
    <row r="514" spans="1:6" ht="15" customHeight="1" x14ac:dyDescent="0.25">
      <c r="A514" s="8">
        <v>10055</v>
      </c>
      <c r="B514" s="8" t="s">
        <v>1023</v>
      </c>
      <c r="C514" s="8" t="s">
        <v>187</v>
      </c>
      <c r="D514" s="8" t="s">
        <v>197</v>
      </c>
      <c r="E514" s="8" t="s">
        <v>1024</v>
      </c>
      <c r="F514" s="8">
        <v>4255.1406999999999</v>
      </c>
    </row>
    <row r="515" spans="1:6" ht="15" customHeight="1" x14ac:dyDescent="0.25">
      <c r="A515" s="8">
        <v>11026</v>
      </c>
      <c r="B515" s="8" t="s">
        <v>1025</v>
      </c>
      <c r="C515" s="8" t="s">
        <v>233</v>
      </c>
      <c r="D515" s="8" t="s">
        <v>266</v>
      </c>
      <c r="E515" s="8" t="s">
        <v>400</v>
      </c>
      <c r="F515" s="8">
        <v>23.1005</v>
      </c>
    </row>
    <row r="516" spans="1:6" ht="15" customHeight="1" x14ac:dyDescent="0.25">
      <c r="A516" s="8">
        <v>10201</v>
      </c>
      <c r="B516" s="8" t="s">
        <v>1026</v>
      </c>
      <c r="C516" s="8" t="s">
        <v>212</v>
      </c>
      <c r="D516" s="8" t="s">
        <v>282</v>
      </c>
      <c r="E516" s="8" t="s">
        <v>715</v>
      </c>
      <c r="F516" s="8">
        <v>66.4071</v>
      </c>
    </row>
    <row r="517" spans="1:6" ht="15" customHeight="1" x14ac:dyDescent="0.25">
      <c r="A517" s="8">
        <v>10587</v>
      </c>
      <c r="B517" s="8" t="s">
        <v>1027</v>
      </c>
      <c r="C517" s="8" t="s">
        <v>180</v>
      </c>
      <c r="D517" s="8" t="s">
        <v>266</v>
      </c>
      <c r="E517" s="8" t="s">
        <v>588</v>
      </c>
      <c r="F517" s="8">
        <v>1517.5730000000001</v>
      </c>
    </row>
    <row r="518" spans="1:6" ht="15" customHeight="1" x14ac:dyDescent="0.25">
      <c r="A518" s="8">
        <v>10156</v>
      </c>
      <c r="B518" s="8" t="s">
        <v>1028</v>
      </c>
      <c r="C518" s="8" t="s">
        <v>293</v>
      </c>
      <c r="D518" s="8" t="s">
        <v>294</v>
      </c>
      <c r="E518" s="8" t="s">
        <v>295</v>
      </c>
      <c r="F518" s="8">
        <v>1963.6628000000001</v>
      </c>
    </row>
    <row r="519" spans="1:6" ht="15" customHeight="1" x14ac:dyDescent="0.25">
      <c r="A519" s="8">
        <v>11723</v>
      </c>
      <c r="B519" s="8" t="s">
        <v>1029</v>
      </c>
      <c r="C519" s="8" t="s">
        <v>1030</v>
      </c>
      <c r="D519" s="8" t="s">
        <v>251</v>
      </c>
      <c r="E519" s="8" t="s">
        <v>581</v>
      </c>
      <c r="F519" s="8">
        <v>47.3095</v>
      </c>
    </row>
    <row r="520" spans="1:6" ht="15" customHeight="1" x14ac:dyDescent="0.25">
      <c r="A520" s="8">
        <v>10413</v>
      </c>
      <c r="B520" s="8" t="s">
        <v>1031</v>
      </c>
      <c r="C520" s="8" t="s">
        <v>1032</v>
      </c>
      <c r="D520" s="8" t="s">
        <v>257</v>
      </c>
      <c r="E520" s="8" t="s">
        <v>1033</v>
      </c>
      <c r="F520" s="8">
        <v>670000</v>
      </c>
    </row>
    <row r="521" spans="1:6" ht="15" customHeight="1" x14ac:dyDescent="0.25">
      <c r="A521" s="8">
        <v>10643</v>
      </c>
      <c r="B521" s="8" t="s">
        <v>1034</v>
      </c>
      <c r="C521" s="8" t="s">
        <v>200</v>
      </c>
      <c r="D521" s="8" t="s">
        <v>201</v>
      </c>
      <c r="E521" s="8" t="s">
        <v>377</v>
      </c>
      <c r="F521" s="8">
        <v>365.67160000000001</v>
      </c>
    </row>
    <row r="522" spans="1:6" ht="15" customHeight="1" x14ac:dyDescent="0.25">
      <c r="A522" s="8">
        <v>10059</v>
      </c>
      <c r="B522" s="8" t="s">
        <v>1035</v>
      </c>
      <c r="C522" s="8" t="s">
        <v>187</v>
      </c>
      <c r="D522" s="8" t="s">
        <v>197</v>
      </c>
      <c r="E522" s="8" t="s">
        <v>269</v>
      </c>
      <c r="F522" s="8">
        <v>10497.360199999999</v>
      </c>
    </row>
    <row r="523" spans="1:6" ht="15" customHeight="1" x14ac:dyDescent="0.25">
      <c r="A523" s="8">
        <v>10290</v>
      </c>
      <c r="B523" s="8" t="s">
        <v>1036</v>
      </c>
      <c r="C523" s="8" t="s">
        <v>176</v>
      </c>
      <c r="D523" s="8" t="s">
        <v>177</v>
      </c>
      <c r="E523" s="8" t="s">
        <v>300</v>
      </c>
      <c r="F523" s="8">
        <v>2289.3649999999998</v>
      </c>
    </row>
    <row r="524" spans="1:6" ht="15" customHeight="1" x14ac:dyDescent="0.25">
      <c r="A524" s="8">
        <v>10071</v>
      </c>
      <c r="B524" s="8" t="s">
        <v>1037</v>
      </c>
      <c r="C524" s="8" t="s">
        <v>196</v>
      </c>
      <c r="D524" s="8" t="s">
        <v>197</v>
      </c>
      <c r="E524" s="8" t="s">
        <v>1038</v>
      </c>
      <c r="F524" s="8">
        <v>24.822099999999999</v>
      </c>
    </row>
    <row r="525" spans="1:6" ht="15" customHeight="1" x14ac:dyDescent="0.25">
      <c r="A525" s="8">
        <v>10586</v>
      </c>
      <c r="B525" s="8" t="s">
        <v>1039</v>
      </c>
      <c r="C525" s="8" t="s">
        <v>1040</v>
      </c>
      <c r="D525" s="8" t="s">
        <v>266</v>
      </c>
      <c r="E525" s="8" t="s">
        <v>1041</v>
      </c>
      <c r="F525" s="8">
        <v>17162.8328</v>
      </c>
    </row>
    <row r="526" spans="1:6" ht="15" customHeight="1" x14ac:dyDescent="0.25">
      <c r="A526" s="8">
        <v>10867</v>
      </c>
      <c r="B526" s="8" t="s">
        <v>1042</v>
      </c>
      <c r="C526" s="8" t="s">
        <v>212</v>
      </c>
      <c r="D526" s="8" t="s">
        <v>282</v>
      </c>
      <c r="E526" s="8" t="s">
        <v>283</v>
      </c>
      <c r="F526" s="8">
        <v>27.324300000000001</v>
      </c>
    </row>
    <row r="527" spans="1:6" ht="15" customHeight="1" x14ac:dyDescent="0.25">
      <c r="A527" s="8">
        <v>11640</v>
      </c>
      <c r="B527" s="8" t="s">
        <v>481</v>
      </c>
      <c r="C527" s="8" t="s">
        <v>1043</v>
      </c>
      <c r="D527" s="8" t="s">
        <v>266</v>
      </c>
      <c r="E527" s="8" t="s">
        <v>360</v>
      </c>
      <c r="F527" s="8">
        <v>141.721</v>
      </c>
    </row>
    <row r="528" spans="1:6" ht="15" customHeight="1" x14ac:dyDescent="0.25">
      <c r="A528" s="8">
        <v>10743</v>
      </c>
      <c r="B528" s="8" t="s">
        <v>1044</v>
      </c>
      <c r="C528" s="8" t="s">
        <v>1045</v>
      </c>
      <c r="D528" s="8" t="s">
        <v>945</v>
      </c>
      <c r="E528" s="8" t="s">
        <v>946</v>
      </c>
      <c r="F528" s="8">
        <v>3955168.9112999998</v>
      </c>
    </row>
    <row r="529" spans="1:6" ht="15" customHeight="1" x14ac:dyDescent="0.25">
      <c r="A529" s="8">
        <v>10219</v>
      </c>
      <c r="B529" s="8" t="s">
        <v>1046</v>
      </c>
      <c r="C529" s="8" t="s">
        <v>176</v>
      </c>
      <c r="D529" s="8" t="s">
        <v>282</v>
      </c>
      <c r="E529" s="8" t="s">
        <v>544</v>
      </c>
      <c r="F529" s="8">
        <v>24140</v>
      </c>
    </row>
    <row r="530" spans="1:6" ht="15" customHeight="1" x14ac:dyDescent="0.25">
      <c r="A530" s="8">
        <v>10498</v>
      </c>
      <c r="B530" s="8" t="s">
        <v>1047</v>
      </c>
      <c r="C530" s="8" t="s">
        <v>355</v>
      </c>
      <c r="D530" s="8" t="s">
        <v>279</v>
      </c>
      <c r="E530" s="8" t="s">
        <v>379</v>
      </c>
      <c r="F530" s="8">
        <v>4983.2349000000004</v>
      </c>
    </row>
    <row r="531" spans="1:6" ht="15" customHeight="1" x14ac:dyDescent="0.25">
      <c r="A531" s="8">
        <v>10856</v>
      </c>
      <c r="B531" s="8" t="s">
        <v>1048</v>
      </c>
      <c r="C531" s="8" t="s">
        <v>233</v>
      </c>
      <c r="D531" s="8" t="s">
        <v>282</v>
      </c>
      <c r="E531" s="8" t="s">
        <v>351</v>
      </c>
      <c r="F531" s="8">
        <v>1222.2907</v>
      </c>
    </row>
    <row r="532" spans="1:6" ht="15" customHeight="1" x14ac:dyDescent="0.25">
      <c r="A532" s="8">
        <v>10327</v>
      </c>
      <c r="B532" s="8" t="s">
        <v>1049</v>
      </c>
      <c r="C532" s="8" t="s">
        <v>176</v>
      </c>
      <c r="D532" s="8" t="s">
        <v>725</v>
      </c>
      <c r="E532" s="8" t="s">
        <v>1050</v>
      </c>
      <c r="F532" s="8">
        <v>15100</v>
      </c>
    </row>
    <row r="533" spans="1:6" ht="15" customHeight="1" x14ac:dyDescent="0.25">
      <c r="A533" s="8">
        <v>10300</v>
      </c>
      <c r="B533" s="8" t="s">
        <v>1051</v>
      </c>
      <c r="C533" s="8" t="s">
        <v>176</v>
      </c>
      <c r="D533" s="8" t="s">
        <v>177</v>
      </c>
      <c r="E533" s="8" t="s">
        <v>300</v>
      </c>
      <c r="F533" s="8">
        <v>2834</v>
      </c>
    </row>
    <row r="534" spans="1:6" ht="15" customHeight="1" x14ac:dyDescent="0.25">
      <c r="A534" s="8">
        <v>10468</v>
      </c>
      <c r="B534" s="8" t="s">
        <v>1052</v>
      </c>
      <c r="C534" s="8" t="s">
        <v>221</v>
      </c>
      <c r="D534" s="8" t="s">
        <v>320</v>
      </c>
      <c r="E534" s="8" t="s">
        <v>407</v>
      </c>
      <c r="F534" s="8">
        <v>8050</v>
      </c>
    </row>
    <row r="535" spans="1:6" ht="15" customHeight="1" x14ac:dyDescent="0.25">
      <c r="A535" s="8">
        <v>10215</v>
      </c>
      <c r="B535" s="8" t="s">
        <v>1053</v>
      </c>
      <c r="C535" s="8" t="s">
        <v>212</v>
      </c>
      <c r="D535" s="8" t="s">
        <v>282</v>
      </c>
      <c r="E535" s="8" t="s">
        <v>283</v>
      </c>
      <c r="F535" s="8">
        <v>44.131100000000004</v>
      </c>
    </row>
    <row r="536" spans="1:6" ht="15" customHeight="1" x14ac:dyDescent="0.25">
      <c r="A536" s="8">
        <v>10275</v>
      </c>
      <c r="B536" s="8" t="s">
        <v>1054</v>
      </c>
      <c r="C536" s="8" t="s">
        <v>176</v>
      </c>
      <c r="D536" s="8" t="s">
        <v>177</v>
      </c>
      <c r="E536" s="8" t="s">
        <v>300</v>
      </c>
      <c r="F536" s="8">
        <v>200.01070000000001</v>
      </c>
    </row>
    <row r="537" spans="1:6" ht="15" customHeight="1" x14ac:dyDescent="0.25">
      <c r="A537" s="8">
        <v>10570</v>
      </c>
      <c r="B537" s="8" t="s">
        <v>1055</v>
      </c>
      <c r="C537" s="8" t="s">
        <v>184</v>
      </c>
      <c r="D537" s="8" t="s">
        <v>266</v>
      </c>
      <c r="E537" s="8" t="s">
        <v>267</v>
      </c>
      <c r="F537" s="8">
        <v>2815</v>
      </c>
    </row>
    <row r="538" spans="1:6" ht="15" customHeight="1" x14ac:dyDescent="0.25">
      <c r="A538" s="8">
        <v>10599</v>
      </c>
      <c r="B538" s="8" t="s">
        <v>1056</v>
      </c>
      <c r="C538" s="8" t="s">
        <v>233</v>
      </c>
      <c r="D538" s="8" t="s">
        <v>266</v>
      </c>
      <c r="E538" s="8" t="s">
        <v>588</v>
      </c>
      <c r="F538" s="8">
        <v>409.05700000000002</v>
      </c>
    </row>
    <row r="539" spans="1:6" ht="15" customHeight="1" x14ac:dyDescent="0.25">
      <c r="A539" s="8">
        <v>11508</v>
      </c>
      <c r="B539" s="8" t="s">
        <v>1057</v>
      </c>
      <c r="C539" s="8" t="s">
        <v>482</v>
      </c>
      <c r="D539" s="8" t="s">
        <v>266</v>
      </c>
      <c r="E539" s="8" t="s">
        <v>360</v>
      </c>
      <c r="F539" s="8">
        <v>40.338200000000001</v>
      </c>
    </row>
    <row r="540" spans="1:6" ht="15" customHeight="1" x14ac:dyDescent="0.25">
      <c r="A540" s="8">
        <v>10044</v>
      </c>
      <c r="B540" s="8" t="s">
        <v>1058</v>
      </c>
      <c r="C540" s="8" t="s">
        <v>243</v>
      </c>
      <c r="D540" s="8" t="s">
        <v>197</v>
      </c>
      <c r="E540" s="8" t="s">
        <v>1059</v>
      </c>
      <c r="F540" s="8">
        <v>34.766599999999997</v>
      </c>
    </row>
    <row r="541" spans="1:6" ht="15" customHeight="1" x14ac:dyDescent="0.25">
      <c r="A541" s="8">
        <v>10363</v>
      </c>
      <c r="B541" s="8" t="s">
        <v>1060</v>
      </c>
      <c r="C541" s="8" t="s">
        <v>1061</v>
      </c>
      <c r="D541" s="8" t="s">
        <v>230</v>
      </c>
      <c r="E541" s="8" t="s">
        <v>593</v>
      </c>
      <c r="F541" s="8">
        <v>960.18129999999996</v>
      </c>
    </row>
    <row r="542" spans="1:6" ht="15" customHeight="1" x14ac:dyDescent="0.25">
      <c r="A542" s="8">
        <v>10157</v>
      </c>
      <c r="B542" s="8" t="s">
        <v>1062</v>
      </c>
      <c r="C542" s="8" t="s">
        <v>293</v>
      </c>
      <c r="D542" s="8" t="s">
        <v>294</v>
      </c>
      <c r="E542" s="8" t="s">
        <v>295</v>
      </c>
      <c r="F542" s="8">
        <v>1595</v>
      </c>
    </row>
    <row r="543" spans="1:6" ht="15" customHeight="1" x14ac:dyDescent="0.25">
      <c r="A543" s="8">
        <v>11063</v>
      </c>
      <c r="B543" s="8" t="s">
        <v>1063</v>
      </c>
      <c r="C543" s="8" t="s">
        <v>585</v>
      </c>
      <c r="D543" s="8" t="s">
        <v>266</v>
      </c>
      <c r="E543" s="8" t="s">
        <v>586</v>
      </c>
      <c r="F543" s="8">
        <v>47.163800000000002</v>
      </c>
    </row>
    <row r="544" spans="1:6" ht="15" customHeight="1" x14ac:dyDescent="0.25">
      <c r="A544" s="8">
        <v>10170</v>
      </c>
      <c r="B544" s="8" t="s">
        <v>1064</v>
      </c>
      <c r="C544" s="8" t="s">
        <v>312</v>
      </c>
      <c r="D544" s="8" t="s">
        <v>282</v>
      </c>
      <c r="E544" s="8" t="s">
        <v>1065</v>
      </c>
      <c r="F544" s="8">
        <v>41.845100000000002</v>
      </c>
    </row>
    <row r="545" spans="1:6" ht="15" customHeight="1" x14ac:dyDescent="0.25">
      <c r="A545" s="8">
        <v>10853</v>
      </c>
      <c r="B545" s="8" t="s">
        <v>1066</v>
      </c>
      <c r="C545" s="8" t="s">
        <v>312</v>
      </c>
      <c r="D545" s="8" t="s">
        <v>282</v>
      </c>
      <c r="E545" s="8" t="s">
        <v>819</v>
      </c>
      <c r="F545" s="8">
        <v>12.9747</v>
      </c>
    </row>
    <row r="546" spans="1:6" ht="15" customHeight="1" x14ac:dyDescent="0.25">
      <c r="A546" s="8">
        <v>10239</v>
      </c>
      <c r="B546" s="8" t="s">
        <v>1067</v>
      </c>
      <c r="C546" s="8" t="s">
        <v>365</v>
      </c>
      <c r="D546" s="8" t="s">
        <v>337</v>
      </c>
      <c r="E546" s="8" t="s">
        <v>1068</v>
      </c>
      <c r="F546" s="8">
        <v>309.68830000000003</v>
      </c>
    </row>
    <row r="547" spans="1:6" ht="15" customHeight="1" x14ac:dyDescent="0.25">
      <c r="A547" s="8">
        <v>10343</v>
      </c>
      <c r="B547" s="8" t="s">
        <v>1069</v>
      </c>
      <c r="C547" s="8" t="s">
        <v>187</v>
      </c>
      <c r="D547" s="8" t="s">
        <v>177</v>
      </c>
      <c r="E547" s="8" t="s">
        <v>1070</v>
      </c>
      <c r="F547" s="8">
        <v>7621.8642</v>
      </c>
    </row>
    <row r="548" spans="1:6" ht="15" customHeight="1" x14ac:dyDescent="0.25">
      <c r="A548" s="8">
        <v>10744</v>
      </c>
      <c r="B548" s="8" t="s">
        <v>1071</v>
      </c>
      <c r="C548" s="8" t="s">
        <v>208</v>
      </c>
      <c r="D548" s="8" t="s">
        <v>209</v>
      </c>
      <c r="E548" s="8" t="s">
        <v>222</v>
      </c>
      <c r="F548" s="8">
        <v>56970</v>
      </c>
    </row>
    <row r="549" spans="1:6" ht="15" customHeight="1" x14ac:dyDescent="0.25">
      <c r="A549" s="8">
        <v>10036</v>
      </c>
      <c r="B549" s="8" t="s">
        <v>1072</v>
      </c>
      <c r="C549" s="8" t="s">
        <v>176</v>
      </c>
      <c r="D549" s="8" t="s">
        <v>197</v>
      </c>
      <c r="E549" s="8" t="s">
        <v>1073</v>
      </c>
      <c r="F549" s="8">
        <v>13260</v>
      </c>
    </row>
    <row r="550" spans="1:6" ht="15" customHeight="1" x14ac:dyDescent="0.25">
      <c r="A550" s="8">
        <v>10179</v>
      </c>
      <c r="B550" s="8" t="s">
        <v>1074</v>
      </c>
      <c r="C550" s="8" t="s">
        <v>212</v>
      </c>
      <c r="D550" s="8" t="s">
        <v>282</v>
      </c>
      <c r="E550" s="8" t="s">
        <v>730</v>
      </c>
      <c r="F550" s="8">
        <v>2136</v>
      </c>
    </row>
    <row r="551" spans="1:6" ht="15" customHeight="1" x14ac:dyDescent="0.25">
      <c r="A551" s="8">
        <v>10375</v>
      </c>
      <c r="B551" s="8" t="s">
        <v>1075</v>
      </c>
      <c r="C551" s="8" t="s">
        <v>221</v>
      </c>
      <c r="D551" s="8" t="s">
        <v>205</v>
      </c>
      <c r="E551" s="8" t="s">
        <v>219</v>
      </c>
      <c r="F551" s="8">
        <v>9870</v>
      </c>
    </row>
    <row r="552" spans="1:6" ht="15" customHeight="1" x14ac:dyDescent="0.25">
      <c r="A552" s="8">
        <v>10507</v>
      </c>
      <c r="B552" s="8" t="s">
        <v>1076</v>
      </c>
      <c r="C552" s="8" t="s">
        <v>355</v>
      </c>
      <c r="D552" s="8" t="s">
        <v>279</v>
      </c>
      <c r="E552" s="8" t="s">
        <v>379</v>
      </c>
      <c r="F552" s="8">
        <v>936.76160000000004</v>
      </c>
    </row>
    <row r="553" spans="1:6" ht="15" customHeight="1" x14ac:dyDescent="0.25">
      <c r="A553" s="8">
        <v>11705</v>
      </c>
      <c r="B553" s="8" t="s">
        <v>1077</v>
      </c>
      <c r="C553" s="8" t="s">
        <v>1078</v>
      </c>
      <c r="D553" s="8" t="s">
        <v>251</v>
      </c>
      <c r="E553" s="8" t="s">
        <v>449</v>
      </c>
      <c r="F553" s="8">
        <v>70.177099999999996</v>
      </c>
    </row>
    <row r="554" spans="1:6" ht="15" customHeight="1" x14ac:dyDescent="0.25">
      <c r="A554" s="8">
        <v>10293</v>
      </c>
      <c r="B554" s="8" t="s">
        <v>1079</v>
      </c>
      <c r="C554" s="8" t="s">
        <v>176</v>
      </c>
      <c r="D554" s="8" t="s">
        <v>177</v>
      </c>
      <c r="E554" s="8" t="s">
        <v>300</v>
      </c>
      <c r="F554" s="8">
        <v>563.99699999999996</v>
      </c>
    </row>
    <row r="555" spans="1:6" ht="15" customHeight="1" x14ac:dyDescent="0.25">
      <c r="A555" s="8">
        <v>10654</v>
      </c>
      <c r="B555" s="8" t="s">
        <v>1080</v>
      </c>
      <c r="C555" s="8" t="s">
        <v>200</v>
      </c>
      <c r="D555" s="8" t="s">
        <v>201</v>
      </c>
      <c r="E555" s="8" t="s">
        <v>285</v>
      </c>
      <c r="F555" s="8">
        <v>231.68109999999999</v>
      </c>
    </row>
    <row r="556" spans="1:6" ht="15" customHeight="1" x14ac:dyDescent="0.25">
      <c r="A556" s="8">
        <v>10076</v>
      </c>
      <c r="B556" s="8" t="s">
        <v>1081</v>
      </c>
      <c r="C556" s="8" t="s">
        <v>722</v>
      </c>
      <c r="D556" s="8" t="s">
        <v>340</v>
      </c>
      <c r="E556" s="8" t="s">
        <v>341</v>
      </c>
      <c r="F556" s="8">
        <v>3282.5</v>
      </c>
    </row>
    <row r="557" spans="1:6" ht="15" customHeight="1" x14ac:dyDescent="0.25">
      <c r="A557" s="8">
        <v>10476</v>
      </c>
      <c r="B557" s="8" t="s">
        <v>1082</v>
      </c>
      <c r="C557" s="8" t="s">
        <v>180</v>
      </c>
      <c r="D557" s="8" t="s">
        <v>320</v>
      </c>
      <c r="E557" s="8" t="s">
        <v>1083</v>
      </c>
      <c r="F557" s="8">
        <v>21535.274600000001</v>
      </c>
    </row>
    <row r="558" spans="1:6" ht="15" customHeight="1" x14ac:dyDescent="0.25">
      <c r="A558" s="8">
        <v>10973</v>
      </c>
      <c r="B558" s="8" t="s">
        <v>1084</v>
      </c>
      <c r="C558" s="8" t="s">
        <v>882</v>
      </c>
      <c r="D558" s="8" t="s">
        <v>320</v>
      </c>
      <c r="E558" s="8" t="s">
        <v>867</v>
      </c>
      <c r="F558" s="8">
        <v>2403.9953</v>
      </c>
    </row>
    <row r="559" spans="1:6" ht="15" customHeight="1" x14ac:dyDescent="0.25">
      <c r="A559" s="8">
        <v>10765</v>
      </c>
      <c r="B559" s="8" t="s">
        <v>1085</v>
      </c>
      <c r="C559" s="8" t="s">
        <v>748</v>
      </c>
      <c r="D559" s="8" t="s">
        <v>209</v>
      </c>
      <c r="E559" s="8" t="s">
        <v>210</v>
      </c>
      <c r="F559" s="8">
        <v>10600</v>
      </c>
    </row>
    <row r="560" spans="1:6" ht="15" customHeight="1" x14ac:dyDescent="0.25">
      <c r="A560" s="8">
        <v>10193</v>
      </c>
      <c r="B560" s="8" t="s">
        <v>1086</v>
      </c>
      <c r="C560" s="8" t="s">
        <v>729</v>
      </c>
      <c r="D560" s="8" t="s">
        <v>282</v>
      </c>
      <c r="E560" s="8" t="s">
        <v>767</v>
      </c>
      <c r="F560" s="8">
        <v>141.02500000000001</v>
      </c>
    </row>
    <row r="561" spans="1:6" ht="15" customHeight="1" x14ac:dyDescent="0.25">
      <c r="A561" s="8">
        <v>10597</v>
      </c>
      <c r="B561" s="8" t="s">
        <v>1087</v>
      </c>
      <c r="C561" s="8" t="s">
        <v>278</v>
      </c>
      <c r="D561" s="8" t="s">
        <v>266</v>
      </c>
      <c r="E561" s="8" t="s">
        <v>400</v>
      </c>
      <c r="F561" s="8">
        <v>389.27069999999998</v>
      </c>
    </row>
    <row r="562" spans="1:6" ht="15" customHeight="1" x14ac:dyDescent="0.25">
      <c r="A562" s="8">
        <v>10043</v>
      </c>
      <c r="B562" s="8" t="s">
        <v>1088</v>
      </c>
      <c r="C562" s="8" t="s">
        <v>243</v>
      </c>
      <c r="D562" s="8" t="s">
        <v>197</v>
      </c>
      <c r="E562" s="8" t="s">
        <v>1089</v>
      </c>
      <c r="F562" s="8">
        <v>155.0557</v>
      </c>
    </row>
    <row r="563" spans="1:6" ht="15" customHeight="1" x14ac:dyDescent="0.25">
      <c r="A563" s="8">
        <v>10540</v>
      </c>
      <c r="B563" s="8" t="s">
        <v>1090</v>
      </c>
      <c r="C563" s="8" t="s">
        <v>355</v>
      </c>
      <c r="D563" s="8" t="s">
        <v>279</v>
      </c>
      <c r="E563" s="8" t="s">
        <v>379</v>
      </c>
      <c r="F563" s="8">
        <v>251.98490000000001</v>
      </c>
    </row>
    <row r="564" spans="1:6" ht="15" customHeight="1" x14ac:dyDescent="0.25">
      <c r="A564" s="8">
        <v>10350</v>
      </c>
      <c r="B564" s="8" t="s">
        <v>1091</v>
      </c>
      <c r="C564" s="8" t="s">
        <v>176</v>
      </c>
      <c r="D564" s="8" t="s">
        <v>177</v>
      </c>
      <c r="E564" s="8" t="s">
        <v>363</v>
      </c>
      <c r="F564" s="8">
        <v>16011.33</v>
      </c>
    </row>
    <row r="565" spans="1:6" ht="15" customHeight="1" x14ac:dyDescent="0.25">
      <c r="A565" s="8">
        <v>11127</v>
      </c>
      <c r="B565" s="8" t="s">
        <v>1092</v>
      </c>
      <c r="C565" s="8" t="s">
        <v>200</v>
      </c>
      <c r="D565" s="8" t="s">
        <v>201</v>
      </c>
      <c r="E565" s="8" t="s">
        <v>285</v>
      </c>
      <c r="F565" s="8">
        <v>118.4975</v>
      </c>
    </row>
    <row r="566" spans="1:6" ht="15" customHeight="1" x14ac:dyDescent="0.25">
      <c r="A566" s="8">
        <v>10384</v>
      </c>
      <c r="B566" s="8" t="s">
        <v>1093</v>
      </c>
      <c r="C566" s="8" t="s">
        <v>595</v>
      </c>
      <c r="D566" s="8" t="s">
        <v>205</v>
      </c>
      <c r="E566" s="8" t="s">
        <v>219</v>
      </c>
      <c r="F566" s="8">
        <v>138437.5</v>
      </c>
    </row>
    <row r="567" spans="1:6" ht="15" customHeight="1" x14ac:dyDescent="0.25">
      <c r="A567" s="8">
        <v>10432</v>
      </c>
      <c r="B567" s="8" t="s">
        <v>277</v>
      </c>
      <c r="C567" s="8" t="s">
        <v>312</v>
      </c>
      <c r="D567" s="8" t="s">
        <v>213</v>
      </c>
      <c r="E567" s="8" t="s">
        <v>1094</v>
      </c>
      <c r="F567" s="8">
        <v>293.57960000000003</v>
      </c>
    </row>
    <row r="568" spans="1:6" ht="15" customHeight="1" x14ac:dyDescent="0.25">
      <c r="A568" s="8">
        <v>10368</v>
      </c>
      <c r="B568" s="8" t="s">
        <v>1095</v>
      </c>
      <c r="C568" s="8" t="s">
        <v>981</v>
      </c>
      <c r="D568" s="8" t="s">
        <v>982</v>
      </c>
      <c r="E568" s="8" t="s">
        <v>1096</v>
      </c>
      <c r="F568" s="8">
        <v>372.6694</v>
      </c>
    </row>
    <row r="569" spans="1:6" ht="15" customHeight="1" x14ac:dyDescent="0.25">
      <c r="A569" s="8">
        <v>10820</v>
      </c>
      <c r="B569" s="8" t="s">
        <v>1097</v>
      </c>
      <c r="C569" s="8" t="s">
        <v>243</v>
      </c>
      <c r="D569" s="8" t="s">
        <v>782</v>
      </c>
      <c r="E569" s="8" t="s">
        <v>1098</v>
      </c>
      <c r="F569" s="8">
        <v>2.6419000000000001</v>
      </c>
    </row>
    <row r="570" spans="1:6" ht="15" customHeight="1" x14ac:dyDescent="0.25">
      <c r="A570" s="8">
        <v>10021</v>
      </c>
      <c r="B570" s="8" t="s">
        <v>1099</v>
      </c>
      <c r="C570" s="8" t="s">
        <v>553</v>
      </c>
      <c r="D570" s="8" t="s">
        <v>261</v>
      </c>
      <c r="E570" s="8" t="s">
        <v>324</v>
      </c>
      <c r="F570" s="8">
        <v>5870250</v>
      </c>
    </row>
    <row r="571" spans="1:6" ht="15" customHeight="1" x14ac:dyDescent="0.25">
      <c r="A571" s="8">
        <v>11093</v>
      </c>
      <c r="B571" s="8" t="s">
        <v>1100</v>
      </c>
      <c r="C571" s="8" t="s">
        <v>575</v>
      </c>
      <c r="D571" s="8" t="s">
        <v>266</v>
      </c>
      <c r="E571" s="8" t="s">
        <v>421</v>
      </c>
      <c r="F571" s="8">
        <v>923.48829999999998</v>
      </c>
    </row>
    <row r="572" spans="1:6" ht="15" customHeight="1" x14ac:dyDescent="0.25">
      <c r="A572" s="8">
        <v>11462</v>
      </c>
      <c r="B572" s="8" t="s">
        <v>1101</v>
      </c>
      <c r="C572" s="8" t="s">
        <v>1102</v>
      </c>
      <c r="D572" s="8" t="s">
        <v>320</v>
      </c>
      <c r="E572" s="8" t="s">
        <v>407</v>
      </c>
      <c r="F572" s="8">
        <v>12383.2289</v>
      </c>
    </row>
    <row r="573" spans="1:6" ht="15" customHeight="1" x14ac:dyDescent="0.25">
      <c r="A573" s="8">
        <v>10005</v>
      </c>
      <c r="B573" s="8" t="s">
        <v>1103</v>
      </c>
      <c r="C573" s="8" t="s">
        <v>1104</v>
      </c>
      <c r="D573" s="8" t="s">
        <v>261</v>
      </c>
      <c r="E573" s="8" t="s">
        <v>324</v>
      </c>
      <c r="F573" s="8">
        <v>297.10120000000001</v>
      </c>
    </row>
    <row r="574" spans="1:6" ht="15" customHeight="1" x14ac:dyDescent="0.25">
      <c r="A574" s="8">
        <v>10412</v>
      </c>
      <c r="B574" s="8" t="s">
        <v>1105</v>
      </c>
      <c r="C574" s="8" t="s">
        <v>944</v>
      </c>
      <c r="D574" s="8" t="s">
        <v>257</v>
      </c>
      <c r="E574" s="8" t="s">
        <v>258</v>
      </c>
      <c r="F574" s="8">
        <v>43980</v>
      </c>
    </row>
    <row r="575" spans="1:6" ht="15" customHeight="1" x14ac:dyDescent="0.25">
      <c r="A575" s="8">
        <v>11449</v>
      </c>
      <c r="B575" s="8" t="s">
        <v>1106</v>
      </c>
      <c r="C575" s="8" t="s">
        <v>240</v>
      </c>
      <c r="D575" s="8" t="s">
        <v>197</v>
      </c>
      <c r="E575" s="8" t="s">
        <v>198</v>
      </c>
      <c r="F575" s="8">
        <v>636.15409999999997</v>
      </c>
    </row>
    <row r="576" spans="1:6" ht="15" customHeight="1" x14ac:dyDescent="0.25">
      <c r="A576" s="8">
        <v>11017</v>
      </c>
      <c r="B576" s="8" t="s">
        <v>1107</v>
      </c>
      <c r="C576" s="8" t="s">
        <v>585</v>
      </c>
      <c r="D576" s="8" t="s">
        <v>266</v>
      </c>
      <c r="E576" s="8" t="s">
        <v>421</v>
      </c>
      <c r="F576" s="8">
        <v>25.667300000000001</v>
      </c>
    </row>
    <row r="577" spans="1:6" ht="15" customHeight="1" x14ac:dyDescent="0.25">
      <c r="A577" s="8">
        <v>10536</v>
      </c>
      <c r="B577" s="8" t="s">
        <v>1108</v>
      </c>
      <c r="C577" s="8" t="s">
        <v>1109</v>
      </c>
      <c r="D577" s="8" t="s">
        <v>279</v>
      </c>
      <c r="E577" s="8" t="s">
        <v>379</v>
      </c>
      <c r="F577" s="8">
        <v>53.723999999999997</v>
      </c>
    </row>
    <row r="578" spans="1:6" ht="15" customHeight="1" x14ac:dyDescent="0.25">
      <c r="A578" s="8">
        <v>10674</v>
      </c>
      <c r="B578" s="8" t="s">
        <v>1110</v>
      </c>
      <c r="C578" s="8" t="s">
        <v>200</v>
      </c>
      <c r="D578" s="8" t="s">
        <v>201</v>
      </c>
      <c r="E578" s="8" t="s">
        <v>285</v>
      </c>
      <c r="F578" s="8">
        <v>275.87209999999999</v>
      </c>
    </row>
    <row r="579" spans="1:6" ht="15" customHeight="1" x14ac:dyDescent="0.25">
      <c r="A579" s="8">
        <v>10670</v>
      </c>
      <c r="B579" s="8" t="s">
        <v>1111</v>
      </c>
      <c r="C579" s="8" t="s">
        <v>180</v>
      </c>
      <c r="D579" s="8" t="s">
        <v>201</v>
      </c>
      <c r="E579" s="8" t="s">
        <v>1112</v>
      </c>
      <c r="F579" s="8">
        <v>4900</v>
      </c>
    </row>
    <row r="580" spans="1:6" ht="15" customHeight="1" x14ac:dyDescent="0.25">
      <c r="A580" s="8">
        <v>10141</v>
      </c>
      <c r="B580" s="8" t="s">
        <v>1113</v>
      </c>
      <c r="C580" s="8" t="s">
        <v>233</v>
      </c>
      <c r="D580" s="8" t="s">
        <v>181</v>
      </c>
      <c r="E580" s="8" t="s">
        <v>237</v>
      </c>
      <c r="F580" s="8">
        <v>2136.768</v>
      </c>
    </row>
    <row r="581" spans="1:6" ht="15" customHeight="1" x14ac:dyDescent="0.25">
      <c r="A581" s="8">
        <v>10333</v>
      </c>
      <c r="B581" s="8" t="s">
        <v>1114</v>
      </c>
      <c r="C581" s="8" t="s">
        <v>176</v>
      </c>
      <c r="D581" s="8" t="s">
        <v>177</v>
      </c>
      <c r="E581" s="8" t="s">
        <v>254</v>
      </c>
      <c r="F581" s="8">
        <v>80350</v>
      </c>
    </row>
    <row r="582" spans="1:6" ht="15" customHeight="1" x14ac:dyDescent="0.25">
      <c r="A582" s="8">
        <v>10701</v>
      </c>
      <c r="B582" s="8" t="s">
        <v>1115</v>
      </c>
      <c r="C582" s="8" t="s">
        <v>200</v>
      </c>
      <c r="D582" s="8" t="s">
        <v>201</v>
      </c>
      <c r="E582" s="8" t="s">
        <v>216</v>
      </c>
      <c r="F582" s="8">
        <v>246.00989999999999</v>
      </c>
    </row>
    <row r="583" spans="1:6" ht="15" customHeight="1" x14ac:dyDescent="0.25">
      <c r="A583" s="8">
        <v>10616</v>
      </c>
      <c r="B583" s="8" t="s">
        <v>1116</v>
      </c>
      <c r="C583" s="8" t="s">
        <v>233</v>
      </c>
      <c r="D583" s="8" t="s">
        <v>266</v>
      </c>
      <c r="E583" s="8" t="s">
        <v>1117</v>
      </c>
      <c r="F583" s="8">
        <v>1531.5268000000001</v>
      </c>
    </row>
    <row r="584" spans="1:6" ht="15" customHeight="1" x14ac:dyDescent="0.25">
      <c r="A584" s="8">
        <v>10101</v>
      </c>
      <c r="B584" s="8" t="s">
        <v>1118</v>
      </c>
      <c r="C584" s="8" t="s">
        <v>192</v>
      </c>
      <c r="D584" s="8" t="s">
        <v>340</v>
      </c>
      <c r="E584" s="8" t="s">
        <v>1119</v>
      </c>
      <c r="F584" s="8">
        <v>25234</v>
      </c>
    </row>
    <row r="585" spans="1:6" ht="15" customHeight="1" x14ac:dyDescent="0.25">
      <c r="A585" s="8">
        <v>10634</v>
      </c>
      <c r="B585" s="8" t="s">
        <v>1120</v>
      </c>
      <c r="C585" s="8" t="s">
        <v>200</v>
      </c>
      <c r="D585" s="8" t="s">
        <v>201</v>
      </c>
      <c r="E585" s="8" t="s">
        <v>216</v>
      </c>
      <c r="F585" s="8">
        <v>463.4074</v>
      </c>
    </row>
    <row r="586" spans="1:6" ht="15" customHeight="1" x14ac:dyDescent="0.25">
      <c r="A586" s="8">
        <v>10445</v>
      </c>
      <c r="B586" s="8" t="s">
        <v>1121</v>
      </c>
      <c r="C586" s="8" t="s">
        <v>226</v>
      </c>
      <c r="D586" s="8" t="s">
        <v>227</v>
      </c>
      <c r="E586" s="8" t="s">
        <v>228</v>
      </c>
      <c r="F586" s="8">
        <v>1175.0192</v>
      </c>
    </row>
    <row r="587" spans="1:6" ht="15" customHeight="1" x14ac:dyDescent="0.25">
      <c r="A587" s="8">
        <v>10015</v>
      </c>
      <c r="B587" s="8" t="s">
        <v>1122</v>
      </c>
      <c r="C587" s="8" t="s">
        <v>332</v>
      </c>
      <c r="D587" s="8" t="s">
        <v>261</v>
      </c>
      <c r="E587" s="8" t="s">
        <v>324</v>
      </c>
      <c r="F587" s="8">
        <v>245227</v>
      </c>
    </row>
    <row r="588" spans="1:6" ht="15" customHeight="1" x14ac:dyDescent="0.25">
      <c r="A588" s="8">
        <v>10414</v>
      </c>
      <c r="B588" s="8" t="s">
        <v>1123</v>
      </c>
      <c r="C588" s="8" t="s">
        <v>1124</v>
      </c>
      <c r="D588" s="8" t="s">
        <v>257</v>
      </c>
      <c r="E588" s="8" t="s">
        <v>258</v>
      </c>
      <c r="F588" s="8">
        <v>954480</v>
      </c>
    </row>
    <row r="589" spans="1:6" ht="15" customHeight="1" x14ac:dyDescent="0.25">
      <c r="A589" s="8">
        <v>10227</v>
      </c>
      <c r="B589" s="8" t="s">
        <v>1125</v>
      </c>
      <c r="C589" s="8" t="s">
        <v>233</v>
      </c>
      <c r="D589" s="8" t="s">
        <v>282</v>
      </c>
      <c r="E589" s="8" t="s">
        <v>544</v>
      </c>
      <c r="F589" s="8">
        <v>5492.8038999999999</v>
      </c>
    </row>
    <row r="590" spans="1:6" ht="15" customHeight="1" x14ac:dyDescent="0.25">
      <c r="A590" s="8">
        <v>10731</v>
      </c>
      <c r="B590" s="8" t="s">
        <v>1126</v>
      </c>
      <c r="C590" s="8" t="s">
        <v>1127</v>
      </c>
      <c r="D590" s="8" t="s">
        <v>251</v>
      </c>
      <c r="E590" s="8" t="s">
        <v>1128</v>
      </c>
      <c r="F590" s="8">
        <v>189.47499999999999</v>
      </c>
    </row>
    <row r="591" spans="1:6" ht="15" customHeight="1" x14ac:dyDescent="0.25">
      <c r="A591" s="8">
        <v>10411</v>
      </c>
      <c r="B591" s="8" t="s">
        <v>1129</v>
      </c>
      <c r="C591" s="8" t="s">
        <v>1130</v>
      </c>
      <c r="D591" s="8" t="s">
        <v>257</v>
      </c>
      <c r="E591" s="8" t="s">
        <v>1131</v>
      </c>
      <c r="F591" s="8">
        <v>7708</v>
      </c>
    </row>
    <row r="592" spans="1:6" ht="15" customHeight="1" x14ac:dyDescent="0.25">
      <c r="A592" s="8">
        <v>10713</v>
      </c>
      <c r="B592" s="8" t="s">
        <v>1132</v>
      </c>
      <c r="C592" s="8" t="s">
        <v>200</v>
      </c>
      <c r="D592" s="8" t="s">
        <v>201</v>
      </c>
      <c r="E592" s="8" t="s">
        <v>216</v>
      </c>
      <c r="F592" s="8">
        <v>65.754000000000005</v>
      </c>
    </row>
    <row r="593" spans="1:6" ht="15" customHeight="1" x14ac:dyDescent="0.25">
      <c r="A593" s="8">
        <v>10881</v>
      </c>
      <c r="B593" s="8" t="s">
        <v>1133</v>
      </c>
      <c r="C593" s="8" t="s">
        <v>233</v>
      </c>
      <c r="D593" s="8" t="s">
        <v>181</v>
      </c>
      <c r="E593" s="8" t="s">
        <v>287</v>
      </c>
      <c r="F593" s="8">
        <v>13693.786099999999</v>
      </c>
    </row>
    <row r="594" spans="1:6" ht="15" customHeight="1" x14ac:dyDescent="0.25">
      <c r="A594" s="8">
        <v>11032</v>
      </c>
      <c r="B594" s="8" t="s">
        <v>1134</v>
      </c>
      <c r="C594" s="8" t="s">
        <v>1135</v>
      </c>
      <c r="D594" s="8" t="s">
        <v>266</v>
      </c>
      <c r="E594" s="8" t="s">
        <v>267</v>
      </c>
      <c r="F594" s="8">
        <v>12833.4377</v>
      </c>
    </row>
    <row r="595" spans="1:6" ht="15" customHeight="1" x14ac:dyDescent="0.25">
      <c r="A595" s="8">
        <v>11505</v>
      </c>
      <c r="B595" s="8" t="s">
        <v>1136</v>
      </c>
      <c r="C595" s="8" t="s">
        <v>1137</v>
      </c>
      <c r="D595" s="8" t="s">
        <v>337</v>
      </c>
      <c r="E595" s="8" t="s">
        <v>1138</v>
      </c>
      <c r="F595" s="8">
        <v>174.65870000000001</v>
      </c>
    </row>
    <row r="596" spans="1:6" ht="15" customHeight="1" x14ac:dyDescent="0.25">
      <c r="A596" s="8">
        <v>10899</v>
      </c>
      <c r="B596" s="8" t="s">
        <v>1139</v>
      </c>
      <c r="C596" s="8" t="s">
        <v>187</v>
      </c>
      <c r="D596" s="8" t="s">
        <v>230</v>
      </c>
      <c r="E596" s="8" t="s">
        <v>593</v>
      </c>
      <c r="F596" s="8">
        <v>494.7559</v>
      </c>
    </row>
    <row r="597" spans="1:6" ht="15" customHeight="1" x14ac:dyDescent="0.25">
      <c r="A597" s="8">
        <v>10662</v>
      </c>
      <c r="B597" s="8" t="s">
        <v>1140</v>
      </c>
      <c r="C597" s="8" t="s">
        <v>200</v>
      </c>
      <c r="D597" s="8" t="s">
        <v>201</v>
      </c>
      <c r="E597" s="8" t="s">
        <v>216</v>
      </c>
      <c r="F597" s="8">
        <v>126.06</v>
      </c>
    </row>
    <row r="598" spans="1:6" ht="15" customHeight="1" x14ac:dyDescent="0.25">
      <c r="A598" s="8">
        <v>10474</v>
      </c>
      <c r="B598" s="8" t="s">
        <v>1141</v>
      </c>
      <c r="C598" s="8" t="s">
        <v>180</v>
      </c>
      <c r="D598" s="8" t="s">
        <v>320</v>
      </c>
      <c r="E598" s="8" t="s">
        <v>867</v>
      </c>
      <c r="F598" s="8">
        <v>1725</v>
      </c>
    </row>
    <row r="599" spans="1:6" ht="15" customHeight="1" x14ac:dyDescent="0.25">
      <c r="A599" s="8">
        <v>10066</v>
      </c>
      <c r="B599" s="8" t="s">
        <v>1142</v>
      </c>
      <c r="C599" s="8" t="s">
        <v>196</v>
      </c>
      <c r="D599" s="8" t="s">
        <v>197</v>
      </c>
      <c r="E599" s="8" t="s">
        <v>298</v>
      </c>
      <c r="F599" s="8">
        <v>84.229799999999997</v>
      </c>
    </row>
    <row r="600" spans="1:6" ht="15" customHeight="1" x14ac:dyDescent="0.25">
      <c r="A600" s="8">
        <v>10305</v>
      </c>
      <c r="B600" s="8" t="s">
        <v>1143</v>
      </c>
      <c r="C600" s="8" t="s">
        <v>187</v>
      </c>
      <c r="D600" s="8" t="s">
        <v>177</v>
      </c>
      <c r="E600" s="8" t="s">
        <v>188</v>
      </c>
      <c r="F600" s="8">
        <v>1629</v>
      </c>
    </row>
    <row r="601" spans="1:6" ht="15" customHeight="1" x14ac:dyDescent="0.25">
      <c r="A601" s="8">
        <v>11560</v>
      </c>
      <c r="B601" s="8" t="s">
        <v>1144</v>
      </c>
      <c r="C601" s="8" t="s">
        <v>585</v>
      </c>
      <c r="D601" s="8" t="s">
        <v>251</v>
      </c>
      <c r="E601" s="8" t="s">
        <v>1145</v>
      </c>
      <c r="F601" s="8">
        <v>6.4984000000000002</v>
      </c>
    </row>
    <row r="602" spans="1:6" ht="15" customHeight="1" x14ac:dyDescent="0.25">
      <c r="A602" s="8">
        <v>10580</v>
      </c>
      <c r="B602" s="8" t="s">
        <v>1146</v>
      </c>
      <c r="C602" s="8" t="s">
        <v>1147</v>
      </c>
      <c r="D602" s="8" t="s">
        <v>266</v>
      </c>
      <c r="E602" s="8" t="s">
        <v>670</v>
      </c>
      <c r="F602" s="8">
        <v>13562.770699999999</v>
      </c>
    </row>
    <row r="603" spans="1:6" ht="15" customHeight="1" x14ac:dyDescent="0.25">
      <c r="A603" s="8">
        <v>10760</v>
      </c>
      <c r="B603" s="8" t="s">
        <v>1148</v>
      </c>
      <c r="C603" s="8" t="s">
        <v>221</v>
      </c>
      <c r="D603" s="8" t="s">
        <v>209</v>
      </c>
      <c r="E603" s="8" t="s">
        <v>222</v>
      </c>
      <c r="F603" s="8">
        <v>67847.266199999998</v>
      </c>
    </row>
    <row r="604" spans="1:6" ht="15" customHeight="1" x14ac:dyDescent="0.25">
      <c r="A604" s="8">
        <v>10538</v>
      </c>
      <c r="B604" s="8" t="s">
        <v>1149</v>
      </c>
      <c r="C604" s="8" t="s">
        <v>1150</v>
      </c>
      <c r="D604" s="8" t="s">
        <v>279</v>
      </c>
      <c r="E604" s="8" t="s">
        <v>1151</v>
      </c>
      <c r="F604" s="8">
        <v>1029.2936999999999</v>
      </c>
    </row>
    <row r="605" spans="1:6" ht="15" customHeight="1" x14ac:dyDescent="0.25">
      <c r="A605" s="8">
        <v>10551</v>
      </c>
      <c r="B605" s="8" t="s">
        <v>1152</v>
      </c>
      <c r="C605" s="8" t="s">
        <v>233</v>
      </c>
      <c r="D605" s="8" t="s">
        <v>266</v>
      </c>
      <c r="E605" s="8" t="s">
        <v>400</v>
      </c>
      <c r="F605" s="8">
        <v>249.86080000000001</v>
      </c>
    </row>
    <row r="606" spans="1:6" ht="15" customHeight="1" x14ac:dyDescent="0.25">
      <c r="A606" s="8">
        <v>10542</v>
      </c>
      <c r="B606" s="8" t="s">
        <v>1153</v>
      </c>
      <c r="C606" s="8" t="s">
        <v>355</v>
      </c>
      <c r="D606" s="8" t="s">
        <v>279</v>
      </c>
      <c r="E606" s="8" t="s">
        <v>534</v>
      </c>
      <c r="F606" s="8">
        <v>22217.880300000001</v>
      </c>
    </row>
    <row r="607" spans="1:6" ht="15" customHeight="1" x14ac:dyDescent="0.25">
      <c r="A607" s="8">
        <v>11018</v>
      </c>
      <c r="B607" s="8" t="s">
        <v>1154</v>
      </c>
      <c r="C607" s="8" t="s">
        <v>575</v>
      </c>
      <c r="D607" s="8" t="s">
        <v>266</v>
      </c>
      <c r="E607" s="8" t="s">
        <v>360</v>
      </c>
      <c r="F607" s="8">
        <v>203.3852</v>
      </c>
    </row>
    <row r="608" spans="1:6" ht="15" customHeight="1" x14ac:dyDescent="0.25">
      <c r="A608" s="8">
        <v>11722</v>
      </c>
      <c r="B608" s="8" t="s">
        <v>1155</v>
      </c>
      <c r="C608" s="8" t="s">
        <v>196</v>
      </c>
      <c r="D608" s="8" t="s">
        <v>230</v>
      </c>
      <c r="E608" s="8" t="s">
        <v>1156</v>
      </c>
      <c r="F608" s="8">
        <v>46</v>
      </c>
    </row>
    <row r="609" spans="1:6" ht="15" customHeight="1" x14ac:dyDescent="0.25">
      <c r="A609" s="8">
        <v>10373</v>
      </c>
      <c r="B609" s="8" t="s">
        <v>1157</v>
      </c>
      <c r="C609" s="8" t="s">
        <v>1158</v>
      </c>
      <c r="D609" s="8" t="s">
        <v>205</v>
      </c>
      <c r="E609" s="8" t="s">
        <v>219</v>
      </c>
      <c r="F609" s="8">
        <v>45840</v>
      </c>
    </row>
    <row r="610" spans="1:6" ht="15" customHeight="1" x14ac:dyDescent="0.25">
      <c r="A610" s="8">
        <v>10628</v>
      </c>
      <c r="B610" s="8" t="s">
        <v>1159</v>
      </c>
      <c r="C610" s="8" t="s">
        <v>200</v>
      </c>
      <c r="D610" s="8" t="s">
        <v>201</v>
      </c>
      <c r="E610" s="8" t="s">
        <v>377</v>
      </c>
      <c r="F610" s="8">
        <v>96.0274</v>
      </c>
    </row>
    <row r="611" spans="1:6" ht="15" customHeight="1" x14ac:dyDescent="0.25">
      <c r="A611" s="8">
        <v>10317</v>
      </c>
      <c r="B611" s="8" t="s">
        <v>1160</v>
      </c>
      <c r="C611" s="8" t="s">
        <v>176</v>
      </c>
      <c r="D611" s="8" t="s">
        <v>177</v>
      </c>
      <c r="E611" s="8" t="s">
        <v>300</v>
      </c>
      <c r="F611" s="8">
        <v>27119</v>
      </c>
    </row>
    <row r="612" spans="1:6" ht="15" customHeight="1" x14ac:dyDescent="0.25">
      <c r="A612" s="8">
        <v>10287</v>
      </c>
      <c r="B612" s="8" t="s">
        <v>1161</v>
      </c>
      <c r="C612" s="8" t="s">
        <v>187</v>
      </c>
      <c r="D612" s="8" t="s">
        <v>177</v>
      </c>
      <c r="E612" s="8" t="s">
        <v>188</v>
      </c>
      <c r="F612" s="8">
        <v>5350</v>
      </c>
    </row>
    <row r="613" spans="1:6" ht="15" customHeight="1" x14ac:dyDescent="0.25">
      <c r="A613" s="8">
        <v>10466</v>
      </c>
      <c r="B613" s="8" t="s">
        <v>1162</v>
      </c>
      <c r="C613" s="8" t="s">
        <v>221</v>
      </c>
      <c r="D613" s="8" t="s">
        <v>320</v>
      </c>
      <c r="E613" s="8" t="s">
        <v>745</v>
      </c>
      <c r="F613" s="8">
        <v>1720</v>
      </c>
    </row>
    <row r="614" spans="1:6" ht="15" customHeight="1" x14ac:dyDescent="0.25">
      <c r="A614" s="8">
        <v>10259</v>
      </c>
      <c r="B614" s="8" t="s">
        <v>1163</v>
      </c>
      <c r="C614" s="8" t="s">
        <v>272</v>
      </c>
      <c r="D614" s="8" t="s">
        <v>177</v>
      </c>
      <c r="E614" s="8" t="s">
        <v>1164</v>
      </c>
      <c r="F614" s="8">
        <v>22981.442200000001</v>
      </c>
    </row>
    <row r="615" spans="1:6" ht="15" customHeight="1" x14ac:dyDescent="0.25">
      <c r="A615" s="8">
        <v>11718</v>
      </c>
      <c r="B615" s="8" t="s">
        <v>1165</v>
      </c>
      <c r="C615" s="8" t="s">
        <v>196</v>
      </c>
      <c r="D615" s="8" t="s">
        <v>230</v>
      </c>
      <c r="E615" s="8" t="s">
        <v>593</v>
      </c>
      <c r="F615" s="8">
        <v>193.58949999999999</v>
      </c>
    </row>
    <row r="616" spans="1:6" ht="15" customHeight="1" x14ac:dyDescent="0.25">
      <c r="A616" s="8">
        <v>10505</v>
      </c>
      <c r="B616" s="8" t="s">
        <v>1166</v>
      </c>
      <c r="C616" s="8" t="s">
        <v>355</v>
      </c>
      <c r="D616" s="8" t="s">
        <v>279</v>
      </c>
      <c r="E616" s="8" t="s">
        <v>534</v>
      </c>
      <c r="F616" s="8">
        <v>2590</v>
      </c>
    </row>
    <row r="617" spans="1:6" ht="15" customHeight="1" x14ac:dyDescent="0.25">
      <c r="A617" s="8">
        <v>10589</v>
      </c>
      <c r="B617" s="8" t="s">
        <v>1167</v>
      </c>
      <c r="C617" s="8" t="s">
        <v>187</v>
      </c>
      <c r="D617" s="8" t="s">
        <v>266</v>
      </c>
      <c r="E617" s="8" t="s">
        <v>360</v>
      </c>
      <c r="F617" s="8">
        <v>131.57</v>
      </c>
    </row>
    <row r="618" spans="1:6" ht="15" customHeight="1" x14ac:dyDescent="0.25">
      <c r="A618" s="8">
        <v>10774</v>
      </c>
      <c r="B618" s="8" t="s">
        <v>1168</v>
      </c>
      <c r="C618" s="8" t="s">
        <v>221</v>
      </c>
      <c r="D618" s="8" t="s">
        <v>209</v>
      </c>
      <c r="E618" s="8" t="s">
        <v>210</v>
      </c>
      <c r="F618" s="8">
        <v>184620</v>
      </c>
    </row>
    <row r="619" spans="1:6" ht="15" customHeight="1" x14ac:dyDescent="0.25">
      <c r="A619" s="8">
        <v>10636</v>
      </c>
      <c r="B619" s="8" t="s">
        <v>1169</v>
      </c>
      <c r="C619" s="8" t="s">
        <v>200</v>
      </c>
      <c r="D619" s="8" t="s">
        <v>201</v>
      </c>
      <c r="E619" s="8" t="s">
        <v>216</v>
      </c>
      <c r="F619" s="8">
        <v>187.89099999999999</v>
      </c>
    </row>
    <row r="620" spans="1:6" ht="15" customHeight="1" x14ac:dyDescent="0.25">
      <c r="A620" s="8">
        <v>11082</v>
      </c>
      <c r="B620" s="8" t="s">
        <v>1170</v>
      </c>
      <c r="C620" s="8" t="s">
        <v>332</v>
      </c>
      <c r="D620" s="8" t="s">
        <v>261</v>
      </c>
      <c r="E620" s="8" t="s">
        <v>324</v>
      </c>
      <c r="F620" s="8">
        <v>44681.211900000002</v>
      </c>
    </row>
    <row r="621" spans="1:6" ht="15" customHeight="1" x14ac:dyDescent="0.25">
      <c r="A621" s="8">
        <v>10728</v>
      </c>
      <c r="B621" s="8" t="s">
        <v>1171</v>
      </c>
      <c r="C621" s="8" t="s">
        <v>243</v>
      </c>
      <c r="D621" s="8" t="s">
        <v>251</v>
      </c>
      <c r="E621" s="8" t="s">
        <v>308</v>
      </c>
      <c r="F621" s="8">
        <v>788.13109999999995</v>
      </c>
    </row>
    <row r="622" spans="1:6" ht="15" customHeight="1" x14ac:dyDescent="0.25">
      <c r="A622" s="8">
        <v>11088</v>
      </c>
      <c r="B622" s="8" t="s">
        <v>1172</v>
      </c>
      <c r="C622" s="8" t="s">
        <v>1173</v>
      </c>
      <c r="D622" s="8" t="s">
        <v>266</v>
      </c>
      <c r="E622" s="8" t="s">
        <v>360</v>
      </c>
      <c r="F622" s="8">
        <v>325.05689999999998</v>
      </c>
    </row>
    <row r="623" spans="1:6" ht="15" customHeight="1" x14ac:dyDescent="0.25">
      <c r="A623" s="8">
        <v>10322</v>
      </c>
      <c r="B623" s="8" t="s">
        <v>1174</v>
      </c>
      <c r="C623" s="8" t="s">
        <v>187</v>
      </c>
      <c r="D623" s="8" t="s">
        <v>177</v>
      </c>
      <c r="E623" s="8" t="s">
        <v>425</v>
      </c>
      <c r="F623" s="8">
        <v>3000</v>
      </c>
    </row>
    <row r="624" spans="1:6" ht="15" customHeight="1" x14ac:dyDescent="0.25">
      <c r="A624" s="8">
        <v>10632</v>
      </c>
      <c r="B624" s="8" t="s">
        <v>1175</v>
      </c>
      <c r="C624" s="8" t="s">
        <v>200</v>
      </c>
      <c r="D624" s="8" t="s">
        <v>201</v>
      </c>
      <c r="E624" s="8" t="s">
        <v>216</v>
      </c>
      <c r="F624" s="8">
        <v>412.46199999999999</v>
      </c>
    </row>
    <row r="625" spans="1:6" ht="15" customHeight="1" x14ac:dyDescent="0.25">
      <c r="A625" s="8">
        <v>10262</v>
      </c>
      <c r="B625" s="8" t="s">
        <v>1176</v>
      </c>
      <c r="C625" s="8" t="s">
        <v>709</v>
      </c>
      <c r="D625" s="8" t="s">
        <v>177</v>
      </c>
      <c r="E625" s="8" t="s">
        <v>710</v>
      </c>
      <c r="F625" s="8">
        <v>244</v>
      </c>
    </row>
    <row r="626" spans="1:6" ht="15" customHeight="1" x14ac:dyDescent="0.25">
      <c r="A626" s="8">
        <v>10158</v>
      </c>
      <c r="B626" s="8" t="s">
        <v>1177</v>
      </c>
      <c r="C626" s="8" t="s">
        <v>1178</v>
      </c>
      <c r="D626" s="8" t="s">
        <v>294</v>
      </c>
      <c r="E626" s="8" t="s">
        <v>1179</v>
      </c>
      <c r="F626" s="8">
        <v>16824.48</v>
      </c>
    </row>
    <row r="627" spans="1:6" ht="15" customHeight="1" x14ac:dyDescent="0.25">
      <c r="A627" s="8">
        <v>10160</v>
      </c>
      <c r="B627" s="8" t="s">
        <v>1180</v>
      </c>
      <c r="C627" s="8" t="s">
        <v>293</v>
      </c>
      <c r="D627" s="8" t="s">
        <v>294</v>
      </c>
      <c r="E627" s="8" t="s">
        <v>295</v>
      </c>
      <c r="F627" s="8">
        <v>5743.75</v>
      </c>
    </row>
    <row r="628" spans="1:6" ht="15" customHeight="1" x14ac:dyDescent="0.25">
      <c r="A628" s="8">
        <v>11213</v>
      </c>
      <c r="B628" s="8" t="s">
        <v>1181</v>
      </c>
      <c r="C628" s="8" t="s">
        <v>1182</v>
      </c>
      <c r="D628" s="8" t="s">
        <v>209</v>
      </c>
      <c r="E628" s="8" t="s">
        <v>222</v>
      </c>
      <c r="F628" s="8">
        <v>1300.0640000000001</v>
      </c>
    </row>
    <row r="629" spans="1:6" ht="15" customHeight="1" x14ac:dyDescent="0.25">
      <c r="A629" s="8">
        <v>10660</v>
      </c>
      <c r="B629" s="8" t="s">
        <v>1183</v>
      </c>
      <c r="C629" s="8" t="s">
        <v>200</v>
      </c>
      <c r="D629" s="8" t="s">
        <v>201</v>
      </c>
      <c r="E629" s="8" t="s">
        <v>216</v>
      </c>
      <c r="F629" s="8">
        <v>473.03089999999997</v>
      </c>
    </row>
    <row r="630" spans="1:6" ht="15" customHeight="1" x14ac:dyDescent="0.25">
      <c r="A630" s="8">
        <v>11611</v>
      </c>
      <c r="B630" s="8" t="s">
        <v>1184</v>
      </c>
      <c r="C630" s="8" t="s">
        <v>482</v>
      </c>
      <c r="D630" s="8" t="s">
        <v>282</v>
      </c>
      <c r="E630" s="8" t="s">
        <v>351</v>
      </c>
      <c r="F630" s="8">
        <v>532.52739999999994</v>
      </c>
    </row>
    <row r="631" spans="1:6" ht="15" customHeight="1" x14ac:dyDescent="0.25">
      <c r="A631" s="8">
        <v>10202</v>
      </c>
      <c r="B631" s="8" t="s">
        <v>1185</v>
      </c>
      <c r="C631" s="8" t="s">
        <v>180</v>
      </c>
      <c r="D631" s="8" t="s">
        <v>282</v>
      </c>
      <c r="E631" s="8" t="s">
        <v>436</v>
      </c>
      <c r="F631" s="8">
        <v>1053.9000000000001</v>
      </c>
    </row>
    <row r="632" spans="1:6" ht="15" customHeight="1" x14ac:dyDescent="0.25">
      <c r="A632" s="8">
        <v>10001</v>
      </c>
      <c r="B632" s="8" t="s">
        <v>1186</v>
      </c>
      <c r="C632" s="8" t="s">
        <v>332</v>
      </c>
      <c r="D632" s="8" t="s">
        <v>261</v>
      </c>
      <c r="E632" s="8" t="s">
        <v>324</v>
      </c>
      <c r="F632" s="8">
        <v>26292.3436</v>
      </c>
    </row>
    <row r="633" spans="1:6" ht="15" customHeight="1" x14ac:dyDescent="0.25">
      <c r="A633" s="8">
        <v>11095</v>
      </c>
      <c r="B633" s="8" t="s">
        <v>1187</v>
      </c>
      <c r="C633" s="8" t="s">
        <v>355</v>
      </c>
      <c r="D633" s="8" t="s">
        <v>266</v>
      </c>
      <c r="E633" s="8" t="s">
        <v>360</v>
      </c>
      <c r="F633" s="8">
        <v>255.0258</v>
      </c>
    </row>
    <row r="634" spans="1:6" ht="15" customHeight="1" x14ac:dyDescent="0.25">
      <c r="A634" s="8">
        <v>10083</v>
      </c>
      <c r="B634" s="8" t="s">
        <v>1188</v>
      </c>
      <c r="C634" s="8" t="s">
        <v>1189</v>
      </c>
      <c r="D634" s="8" t="s">
        <v>340</v>
      </c>
      <c r="E634" s="8" t="s">
        <v>341</v>
      </c>
      <c r="F634" s="8">
        <v>1261.2810999999999</v>
      </c>
    </row>
    <row r="635" spans="1:6" ht="15" customHeight="1" x14ac:dyDescent="0.25">
      <c r="A635" s="8">
        <v>10987</v>
      </c>
      <c r="B635" s="8" t="s">
        <v>1190</v>
      </c>
      <c r="C635" s="8" t="s">
        <v>1191</v>
      </c>
      <c r="D635" s="8" t="s">
        <v>279</v>
      </c>
      <c r="E635" s="8" t="s">
        <v>280</v>
      </c>
      <c r="F635" s="8">
        <v>6.7146999999999997</v>
      </c>
    </row>
    <row r="636" spans="1:6" ht="15" customHeight="1" x14ac:dyDescent="0.25">
      <c r="A636" s="8">
        <v>10292</v>
      </c>
      <c r="B636" s="8" t="s">
        <v>1192</v>
      </c>
      <c r="C636" s="8" t="s">
        <v>176</v>
      </c>
      <c r="D636" s="8" t="s">
        <v>177</v>
      </c>
      <c r="E636" s="8" t="s">
        <v>300</v>
      </c>
      <c r="F636" s="8">
        <v>570</v>
      </c>
    </row>
    <row r="637" spans="1:6" ht="15" customHeight="1" x14ac:dyDescent="0.25">
      <c r="A637" s="8">
        <v>10120</v>
      </c>
      <c r="B637" s="8" t="s">
        <v>1193</v>
      </c>
      <c r="C637" s="8" t="s">
        <v>530</v>
      </c>
      <c r="D637" s="8" t="s">
        <v>181</v>
      </c>
      <c r="E637" s="8" t="s">
        <v>185</v>
      </c>
      <c r="F637" s="8">
        <v>1256.6489999999999</v>
      </c>
    </row>
    <row r="638" spans="1:6" ht="15" customHeight="1" x14ac:dyDescent="0.25">
      <c r="A638" s="8">
        <v>10025</v>
      </c>
      <c r="B638" s="8" t="s">
        <v>1194</v>
      </c>
      <c r="C638" s="8" t="s">
        <v>709</v>
      </c>
      <c r="D638" s="8" t="s">
        <v>197</v>
      </c>
      <c r="E638" s="8" t="s">
        <v>844</v>
      </c>
      <c r="F638" s="8">
        <v>8531.2993999999999</v>
      </c>
    </row>
    <row r="639" spans="1:6" ht="15" customHeight="1" x14ac:dyDescent="0.25">
      <c r="A639" s="8">
        <v>10729</v>
      </c>
      <c r="B639" s="8" t="s">
        <v>1195</v>
      </c>
      <c r="C639" s="8" t="s">
        <v>176</v>
      </c>
      <c r="D639" s="8" t="s">
        <v>251</v>
      </c>
      <c r="E639" s="8" t="s">
        <v>579</v>
      </c>
      <c r="F639" s="8">
        <v>37.4437</v>
      </c>
    </row>
    <row r="640" spans="1:6" ht="15" customHeight="1" x14ac:dyDescent="0.25">
      <c r="A640" s="8">
        <v>10529</v>
      </c>
      <c r="B640" s="8" t="s">
        <v>1196</v>
      </c>
      <c r="C640" s="8" t="s">
        <v>355</v>
      </c>
      <c r="D640" s="8" t="s">
        <v>279</v>
      </c>
      <c r="E640" s="8" t="s">
        <v>577</v>
      </c>
      <c r="F640" s="8">
        <v>3037.2051000000001</v>
      </c>
    </row>
    <row r="641" spans="1:6" ht="15" customHeight="1" x14ac:dyDescent="0.25">
      <c r="A641" s="8">
        <v>10098</v>
      </c>
      <c r="B641" s="8" t="s">
        <v>1197</v>
      </c>
      <c r="C641" s="8" t="s">
        <v>221</v>
      </c>
      <c r="D641" s="8" t="s">
        <v>340</v>
      </c>
      <c r="E641" s="8" t="s">
        <v>723</v>
      </c>
      <c r="F641" s="8">
        <v>101.92</v>
      </c>
    </row>
    <row r="642" spans="1:6" ht="15" customHeight="1" x14ac:dyDescent="0.25">
      <c r="A642" s="8">
        <v>10271</v>
      </c>
      <c r="B642" s="8" t="s">
        <v>1198</v>
      </c>
      <c r="C642" s="8" t="s">
        <v>176</v>
      </c>
      <c r="D642" s="8" t="s">
        <v>177</v>
      </c>
      <c r="E642" s="8" t="s">
        <v>273</v>
      </c>
      <c r="F642" s="8">
        <v>2840.154</v>
      </c>
    </row>
    <row r="643" spans="1:6" ht="15" customHeight="1" x14ac:dyDescent="0.25">
      <c r="A643" s="8">
        <v>10751</v>
      </c>
      <c r="B643" s="8" t="s">
        <v>1199</v>
      </c>
      <c r="C643" s="8" t="s">
        <v>319</v>
      </c>
      <c r="D643" s="8" t="s">
        <v>209</v>
      </c>
      <c r="E643" s="8" t="s">
        <v>210</v>
      </c>
      <c r="F643" s="8">
        <v>8597.1247000000003</v>
      </c>
    </row>
    <row r="644" spans="1:6" ht="15" customHeight="1" x14ac:dyDescent="0.25">
      <c r="A644" s="8">
        <v>10563</v>
      </c>
      <c r="B644" s="8" t="s">
        <v>1200</v>
      </c>
      <c r="C644" s="8" t="s">
        <v>233</v>
      </c>
      <c r="D644" s="8" t="s">
        <v>266</v>
      </c>
      <c r="E644" s="8" t="s">
        <v>267</v>
      </c>
      <c r="F644" s="8">
        <v>5171.8903</v>
      </c>
    </row>
    <row r="645" spans="1:6" ht="15" customHeight="1" x14ac:dyDescent="0.25">
      <c r="A645" s="8">
        <v>10698</v>
      </c>
      <c r="B645" s="8" t="s">
        <v>1201</v>
      </c>
      <c r="C645" s="8" t="s">
        <v>496</v>
      </c>
      <c r="D645" s="8" t="s">
        <v>201</v>
      </c>
      <c r="E645" s="8" t="s">
        <v>377</v>
      </c>
      <c r="F645" s="8">
        <v>253.45500000000001</v>
      </c>
    </row>
    <row r="646" spans="1:6" ht="15" customHeight="1" x14ac:dyDescent="0.25">
      <c r="A646" s="8">
        <v>10703</v>
      </c>
      <c r="B646" s="8" t="s">
        <v>1202</v>
      </c>
      <c r="C646" s="8" t="s">
        <v>200</v>
      </c>
      <c r="D646" s="8" t="s">
        <v>201</v>
      </c>
      <c r="E646" s="8" t="s">
        <v>216</v>
      </c>
      <c r="F646" s="8">
        <v>185.45920000000001</v>
      </c>
    </row>
    <row r="647" spans="1:6" ht="15" customHeight="1" x14ac:dyDescent="0.25">
      <c r="A647" s="8">
        <v>10269</v>
      </c>
      <c r="B647" s="8" t="s">
        <v>1203</v>
      </c>
      <c r="C647" s="8" t="s">
        <v>187</v>
      </c>
      <c r="D647" s="8" t="s">
        <v>177</v>
      </c>
      <c r="E647" s="8" t="s">
        <v>392</v>
      </c>
      <c r="F647" s="8">
        <v>1277.3610000000001</v>
      </c>
    </row>
    <row r="648" spans="1:6" ht="15" customHeight="1" x14ac:dyDescent="0.25">
      <c r="A648" s="8">
        <v>11824</v>
      </c>
      <c r="B648" s="8" t="s">
        <v>1204</v>
      </c>
      <c r="C648" s="8" t="s">
        <v>319</v>
      </c>
      <c r="D648" s="8" t="s">
        <v>320</v>
      </c>
      <c r="E648" s="8" t="s">
        <v>407</v>
      </c>
      <c r="F648" s="8">
        <v>9294.1054999999997</v>
      </c>
    </row>
    <row r="649" spans="1:6" ht="15" customHeight="1" x14ac:dyDescent="0.25">
      <c r="A649" s="8">
        <v>11477</v>
      </c>
      <c r="B649" s="8" t="s">
        <v>1205</v>
      </c>
      <c r="C649" s="8" t="s">
        <v>243</v>
      </c>
      <c r="D649" s="8" t="s">
        <v>782</v>
      </c>
      <c r="E649" s="8" t="s">
        <v>1098</v>
      </c>
      <c r="F649" s="8">
        <v>6.2031999999999998</v>
      </c>
    </row>
    <row r="650" spans="1:6" ht="15" customHeight="1" x14ac:dyDescent="0.25">
      <c r="A650" s="8">
        <v>10725</v>
      </c>
      <c r="B650" s="8" t="s">
        <v>1206</v>
      </c>
      <c r="C650" s="8" t="s">
        <v>243</v>
      </c>
      <c r="D650" s="8" t="s">
        <v>251</v>
      </c>
      <c r="E650" s="8" t="s">
        <v>1207</v>
      </c>
      <c r="F650" s="8">
        <v>43.280799999999999</v>
      </c>
    </row>
    <row r="651" spans="1:6" ht="15" customHeight="1" x14ac:dyDescent="0.25">
      <c r="A651" s="8">
        <v>10313</v>
      </c>
      <c r="B651" s="8" t="s">
        <v>1208</v>
      </c>
      <c r="C651" s="8" t="s">
        <v>176</v>
      </c>
      <c r="D651" s="8" t="s">
        <v>177</v>
      </c>
      <c r="E651" s="8" t="s">
        <v>273</v>
      </c>
      <c r="F651" s="8">
        <v>2708.6691999999998</v>
      </c>
    </row>
    <row r="652" spans="1:6" ht="15" customHeight="1" x14ac:dyDescent="0.25">
      <c r="A652" s="8">
        <v>10231</v>
      </c>
      <c r="B652" s="8" t="s">
        <v>1209</v>
      </c>
      <c r="C652" s="8" t="s">
        <v>1210</v>
      </c>
      <c r="D652" s="8" t="s">
        <v>282</v>
      </c>
      <c r="E652" s="8" t="s">
        <v>366</v>
      </c>
      <c r="F652" s="8">
        <v>3406.4526000000001</v>
      </c>
    </row>
    <row r="653" spans="1:6" ht="15" customHeight="1" x14ac:dyDescent="0.25">
      <c r="A653" s="8">
        <v>10105</v>
      </c>
      <c r="B653" s="8" t="s">
        <v>1211</v>
      </c>
      <c r="C653" s="8" t="s">
        <v>187</v>
      </c>
      <c r="D653" s="8" t="s">
        <v>782</v>
      </c>
      <c r="E653" s="8" t="s">
        <v>783</v>
      </c>
      <c r="F653" s="8">
        <v>5293.4579999999996</v>
      </c>
    </row>
    <row r="654" spans="1:6" ht="15" customHeight="1" x14ac:dyDescent="0.25">
      <c r="A654" s="8">
        <v>10511</v>
      </c>
      <c r="B654" s="8" t="s">
        <v>1212</v>
      </c>
      <c r="C654" s="8" t="s">
        <v>355</v>
      </c>
      <c r="D654" s="8" t="s">
        <v>279</v>
      </c>
      <c r="E654" s="8" t="s">
        <v>280</v>
      </c>
      <c r="F654" s="8">
        <v>8456.1715000000004</v>
      </c>
    </row>
    <row r="655" spans="1:6" ht="15" customHeight="1" x14ac:dyDescent="0.25">
      <c r="A655" s="8">
        <v>10379</v>
      </c>
      <c r="B655" s="8" t="s">
        <v>1213</v>
      </c>
      <c r="C655" s="8" t="s">
        <v>1214</v>
      </c>
      <c r="D655" s="8" t="s">
        <v>205</v>
      </c>
      <c r="E655" s="8" t="s">
        <v>1215</v>
      </c>
      <c r="F655" s="8">
        <v>2762500</v>
      </c>
    </row>
    <row r="656" spans="1:6" ht="15" customHeight="1" x14ac:dyDescent="0.25">
      <c r="A656" s="8">
        <v>10527</v>
      </c>
      <c r="B656" s="8" t="s">
        <v>1216</v>
      </c>
      <c r="C656" s="8" t="s">
        <v>355</v>
      </c>
      <c r="D656" s="8" t="s">
        <v>279</v>
      </c>
      <c r="E656" s="8" t="s">
        <v>356</v>
      </c>
      <c r="F656" s="8">
        <v>10400</v>
      </c>
    </row>
    <row r="657" spans="1:6" ht="15" customHeight="1" x14ac:dyDescent="0.25">
      <c r="A657" s="8">
        <v>10207</v>
      </c>
      <c r="B657" s="8" t="s">
        <v>1217</v>
      </c>
      <c r="C657" s="8" t="s">
        <v>312</v>
      </c>
      <c r="D657" s="8" t="s">
        <v>282</v>
      </c>
      <c r="E657" s="8" t="s">
        <v>1218</v>
      </c>
      <c r="F657" s="8">
        <v>218.53579999999999</v>
      </c>
    </row>
    <row r="658" spans="1:6" ht="15" customHeight="1" x14ac:dyDescent="0.25">
      <c r="A658" s="8">
        <v>10024</v>
      </c>
      <c r="B658" s="8" t="s">
        <v>1219</v>
      </c>
      <c r="C658" s="8" t="s">
        <v>243</v>
      </c>
      <c r="D658" s="8" t="s">
        <v>197</v>
      </c>
      <c r="E658" s="8" t="s">
        <v>1220</v>
      </c>
      <c r="F658" s="8">
        <v>18.724</v>
      </c>
    </row>
    <row r="659" spans="1:6" ht="15" customHeight="1" x14ac:dyDescent="0.25">
      <c r="A659" s="8">
        <v>10790</v>
      </c>
      <c r="B659" s="8" t="s">
        <v>1221</v>
      </c>
      <c r="C659" s="8" t="s">
        <v>196</v>
      </c>
      <c r="D659" s="8" t="s">
        <v>197</v>
      </c>
      <c r="E659" s="8" t="s">
        <v>473</v>
      </c>
      <c r="F659" s="8">
        <v>63.076099999999997</v>
      </c>
    </row>
    <row r="660" spans="1:6" ht="15" customHeight="1" x14ac:dyDescent="0.25">
      <c r="A660" s="8">
        <v>10041</v>
      </c>
      <c r="B660" s="8" t="s">
        <v>1222</v>
      </c>
      <c r="C660" s="8" t="s">
        <v>187</v>
      </c>
      <c r="D660" s="8" t="s">
        <v>197</v>
      </c>
      <c r="E660" s="8" t="s">
        <v>269</v>
      </c>
      <c r="F660" s="8">
        <v>600</v>
      </c>
    </row>
    <row r="661" spans="1:6" ht="15" customHeight="1" x14ac:dyDescent="0.25">
      <c r="A661" s="8">
        <v>10639</v>
      </c>
      <c r="B661" s="8" t="s">
        <v>1223</v>
      </c>
      <c r="C661" s="8" t="s">
        <v>200</v>
      </c>
      <c r="D661" s="8" t="s">
        <v>201</v>
      </c>
      <c r="E661" s="8" t="s">
        <v>216</v>
      </c>
      <c r="F661" s="8">
        <v>200.03649999999999</v>
      </c>
    </row>
    <row r="662" spans="1:6" ht="15" customHeight="1" x14ac:dyDescent="0.25">
      <c r="A662" s="8">
        <v>10216</v>
      </c>
      <c r="B662" s="8" t="s">
        <v>1224</v>
      </c>
      <c r="C662" s="8" t="s">
        <v>1225</v>
      </c>
      <c r="D662" s="8" t="s">
        <v>1226</v>
      </c>
      <c r="E662" s="8" t="s">
        <v>1227</v>
      </c>
      <c r="F662" s="8">
        <v>13054.628500000001</v>
      </c>
    </row>
    <row r="663" spans="1:6" ht="15" customHeight="1" x14ac:dyDescent="0.25">
      <c r="A663" s="8">
        <v>10320</v>
      </c>
      <c r="B663" s="8" t="s">
        <v>1228</v>
      </c>
      <c r="C663" s="8" t="s">
        <v>176</v>
      </c>
      <c r="D663" s="8" t="s">
        <v>177</v>
      </c>
      <c r="E663" s="8" t="s">
        <v>300</v>
      </c>
      <c r="F663" s="8">
        <v>5342</v>
      </c>
    </row>
    <row r="664" spans="1:6" ht="15" customHeight="1" x14ac:dyDescent="0.25">
      <c r="A664" s="8">
        <v>11714</v>
      </c>
      <c r="B664" s="8" t="s">
        <v>1229</v>
      </c>
      <c r="C664" s="8" t="s">
        <v>1007</v>
      </c>
      <c r="D664" s="8" t="s">
        <v>227</v>
      </c>
      <c r="E664" s="8" t="s">
        <v>405</v>
      </c>
      <c r="F664" s="8">
        <v>49.089199999999998</v>
      </c>
    </row>
    <row r="665" spans="1:6" ht="15" customHeight="1" x14ac:dyDescent="0.25">
      <c r="A665" s="8">
        <v>10475</v>
      </c>
      <c r="B665" s="8" t="s">
        <v>1230</v>
      </c>
      <c r="C665" s="8" t="s">
        <v>1231</v>
      </c>
      <c r="D665" s="8" t="s">
        <v>320</v>
      </c>
      <c r="E665" s="8" t="s">
        <v>1232</v>
      </c>
      <c r="F665" s="8">
        <v>46.7</v>
      </c>
    </row>
    <row r="666" spans="1:6" ht="15" customHeight="1" x14ac:dyDescent="0.25">
      <c r="A666" s="8">
        <v>11053</v>
      </c>
      <c r="B666" s="8" t="s">
        <v>1233</v>
      </c>
      <c r="C666" s="8" t="s">
        <v>666</v>
      </c>
      <c r="D666" s="8" t="s">
        <v>266</v>
      </c>
      <c r="E666" s="8" t="s">
        <v>887</v>
      </c>
      <c r="F666" s="8">
        <v>29190.686699999998</v>
      </c>
    </row>
    <row r="667" spans="1:6" ht="15" customHeight="1" x14ac:dyDescent="0.25">
      <c r="A667" s="8">
        <v>10395</v>
      </c>
      <c r="B667" s="8" t="s">
        <v>1234</v>
      </c>
      <c r="C667" s="8" t="s">
        <v>200</v>
      </c>
      <c r="D667" s="8" t="s">
        <v>201</v>
      </c>
      <c r="E667" s="8" t="s">
        <v>202</v>
      </c>
      <c r="F667" s="8">
        <v>48.396999999999998</v>
      </c>
    </row>
    <row r="668" spans="1:6" ht="15" customHeight="1" x14ac:dyDescent="0.25">
      <c r="A668" s="8">
        <v>10990</v>
      </c>
      <c r="B668" s="8" t="s">
        <v>1235</v>
      </c>
      <c r="C668" s="8" t="s">
        <v>1236</v>
      </c>
      <c r="D668" s="8" t="s">
        <v>279</v>
      </c>
      <c r="E668" s="8" t="s">
        <v>966</v>
      </c>
      <c r="F668" s="8">
        <v>28.590900000000001</v>
      </c>
    </row>
    <row r="669" spans="1:6" ht="15" customHeight="1" x14ac:dyDescent="0.25">
      <c r="A669" s="8">
        <v>10913</v>
      </c>
      <c r="B669" s="8" t="s">
        <v>1237</v>
      </c>
      <c r="C669" s="8" t="s">
        <v>312</v>
      </c>
      <c r="D669" s="8" t="s">
        <v>197</v>
      </c>
      <c r="E669" s="8" t="s">
        <v>228</v>
      </c>
      <c r="F669" s="8">
        <v>90.473799999999997</v>
      </c>
    </row>
    <row r="670" spans="1:6" ht="15" customHeight="1" x14ac:dyDescent="0.25">
      <c r="A670" s="8">
        <v>11868</v>
      </c>
      <c r="B670" s="8" t="s">
        <v>1238</v>
      </c>
      <c r="C670" s="8" t="s">
        <v>1236</v>
      </c>
      <c r="D670" s="8" t="s">
        <v>279</v>
      </c>
      <c r="E670" s="8" t="s">
        <v>1239</v>
      </c>
      <c r="F670" s="8">
        <v>130.75790000000001</v>
      </c>
    </row>
    <row r="671" spans="1:6" ht="15" customHeight="1" x14ac:dyDescent="0.25">
      <c r="A671" s="8">
        <v>11579</v>
      </c>
      <c r="B671" s="8" t="s">
        <v>1240</v>
      </c>
      <c r="C671" s="8" t="s">
        <v>243</v>
      </c>
      <c r="D671" s="8" t="s">
        <v>282</v>
      </c>
      <c r="E671" s="8" t="s">
        <v>351</v>
      </c>
      <c r="F671" s="8">
        <v>2360.1082999999999</v>
      </c>
    </row>
    <row r="672" spans="1:6" ht="15" customHeight="1" x14ac:dyDescent="0.25">
      <c r="A672" s="8">
        <v>10666</v>
      </c>
      <c r="B672" s="8" t="s">
        <v>1241</v>
      </c>
      <c r="C672" s="8" t="s">
        <v>200</v>
      </c>
      <c r="D672" s="8" t="s">
        <v>201</v>
      </c>
      <c r="E672" s="8" t="s">
        <v>285</v>
      </c>
      <c r="F672" s="8">
        <v>354.67070000000001</v>
      </c>
    </row>
    <row r="673" spans="1:6" ht="15" customHeight="1" x14ac:dyDescent="0.25">
      <c r="A673" s="8">
        <v>10192</v>
      </c>
      <c r="B673" s="8" t="s">
        <v>1242</v>
      </c>
      <c r="C673" s="8" t="s">
        <v>233</v>
      </c>
      <c r="D673" s="8" t="s">
        <v>282</v>
      </c>
      <c r="E673" s="8" t="s">
        <v>351</v>
      </c>
      <c r="F673" s="8">
        <v>2426.6695</v>
      </c>
    </row>
    <row r="674" spans="1:6" ht="15" customHeight="1" x14ac:dyDescent="0.25">
      <c r="A674" s="8">
        <v>10469</v>
      </c>
      <c r="B674" s="8" t="s">
        <v>1243</v>
      </c>
      <c r="C674" s="8" t="s">
        <v>1244</v>
      </c>
      <c r="D674" s="8" t="s">
        <v>320</v>
      </c>
      <c r="E674" s="8" t="s">
        <v>407</v>
      </c>
      <c r="F674" s="8">
        <v>10300</v>
      </c>
    </row>
    <row r="675" spans="1:6" ht="15" customHeight="1" x14ac:dyDescent="0.25">
      <c r="A675" s="8">
        <v>10600</v>
      </c>
      <c r="B675" s="8" t="s">
        <v>1245</v>
      </c>
      <c r="C675" s="8" t="s">
        <v>355</v>
      </c>
      <c r="D675" s="8" t="s">
        <v>266</v>
      </c>
      <c r="E675" s="8" t="s">
        <v>1019</v>
      </c>
      <c r="F675" s="8">
        <v>1570.0395000000001</v>
      </c>
    </row>
    <row r="676" spans="1:6" ht="15" customHeight="1" x14ac:dyDescent="0.25">
      <c r="A676" s="8">
        <v>10675</v>
      </c>
      <c r="B676" s="8" t="s">
        <v>1246</v>
      </c>
      <c r="C676" s="8" t="s">
        <v>200</v>
      </c>
      <c r="D676" s="8" t="s">
        <v>201</v>
      </c>
      <c r="E676" s="8" t="s">
        <v>377</v>
      </c>
      <c r="F676" s="8">
        <v>107.2253</v>
      </c>
    </row>
    <row r="677" spans="1:6" ht="15" customHeight="1" x14ac:dyDescent="0.25">
      <c r="A677" s="8">
        <v>10053</v>
      </c>
      <c r="B677" s="8" t="s">
        <v>1247</v>
      </c>
      <c r="C677" s="8" t="s">
        <v>196</v>
      </c>
      <c r="D677" s="8" t="s">
        <v>197</v>
      </c>
      <c r="E677" s="8" t="s">
        <v>473</v>
      </c>
      <c r="F677" s="8">
        <v>2155.0650000000001</v>
      </c>
    </row>
    <row r="678" spans="1:6" ht="15" customHeight="1" x14ac:dyDescent="0.25">
      <c r="A678" s="8">
        <v>10524</v>
      </c>
      <c r="B678" s="8" t="s">
        <v>1248</v>
      </c>
      <c r="C678" s="8" t="s">
        <v>355</v>
      </c>
      <c r="D678" s="8" t="s">
        <v>279</v>
      </c>
      <c r="E678" s="8" t="s">
        <v>356</v>
      </c>
      <c r="F678" s="8">
        <v>5276.6750000000002</v>
      </c>
    </row>
    <row r="679" spans="1:6" ht="15" customHeight="1" x14ac:dyDescent="0.25">
      <c r="A679" s="8">
        <v>11482</v>
      </c>
      <c r="B679" s="8" t="s">
        <v>1249</v>
      </c>
      <c r="C679" s="8" t="s">
        <v>332</v>
      </c>
      <c r="D679" s="8" t="s">
        <v>261</v>
      </c>
      <c r="E679" s="8" t="s">
        <v>324</v>
      </c>
      <c r="F679" s="8">
        <v>2483.9176000000002</v>
      </c>
    </row>
    <row r="680" spans="1:6" ht="15" customHeight="1" x14ac:dyDescent="0.25">
      <c r="A680" s="8">
        <v>10485</v>
      </c>
      <c r="B680" s="8" t="s">
        <v>1250</v>
      </c>
      <c r="C680" s="8" t="s">
        <v>355</v>
      </c>
      <c r="D680" s="8" t="s">
        <v>279</v>
      </c>
      <c r="E680" s="8" t="s">
        <v>356</v>
      </c>
      <c r="F680" s="8">
        <v>3803.8488000000002</v>
      </c>
    </row>
    <row r="681" spans="1:6" ht="15" customHeight="1" x14ac:dyDescent="0.25">
      <c r="A681" s="8">
        <v>10279</v>
      </c>
      <c r="B681" s="8" t="s">
        <v>1251</v>
      </c>
      <c r="C681" s="8" t="s">
        <v>176</v>
      </c>
      <c r="D681" s="8" t="s">
        <v>177</v>
      </c>
      <c r="E681" s="8" t="s">
        <v>396</v>
      </c>
      <c r="F681" s="8">
        <v>4376</v>
      </c>
    </row>
    <row r="682" spans="1:6" ht="15" customHeight="1" x14ac:dyDescent="0.25">
      <c r="A682" s="8">
        <v>10345</v>
      </c>
      <c r="B682" s="8" t="s">
        <v>1252</v>
      </c>
      <c r="C682" s="8" t="s">
        <v>272</v>
      </c>
      <c r="D682" s="8" t="s">
        <v>177</v>
      </c>
      <c r="E682" s="8" t="s">
        <v>275</v>
      </c>
      <c r="F682" s="8">
        <v>9500</v>
      </c>
    </row>
    <row r="683" spans="1:6" ht="15" customHeight="1" x14ac:dyDescent="0.25">
      <c r="A683" s="8">
        <v>10289</v>
      </c>
      <c r="B683" s="8" t="s">
        <v>1253</v>
      </c>
      <c r="C683" s="8" t="s">
        <v>176</v>
      </c>
      <c r="D683" s="8" t="s">
        <v>177</v>
      </c>
      <c r="E683" s="8" t="s">
        <v>188</v>
      </c>
      <c r="F683" s="8">
        <v>205</v>
      </c>
    </row>
    <row r="684" spans="1:6" ht="15" customHeight="1" x14ac:dyDescent="0.25">
      <c r="A684" s="8">
        <v>11559</v>
      </c>
      <c r="B684" s="8" t="s">
        <v>1254</v>
      </c>
      <c r="C684" s="8" t="s">
        <v>212</v>
      </c>
      <c r="D684" s="8" t="s">
        <v>266</v>
      </c>
      <c r="E684" s="8" t="s">
        <v>400</v>
      </c>
      <c r="F684" s="8">
        <v>10802.552799999999</v>
      </c>
    </row>
    <row r="685" spans="1:6" ht="15" customHeight="1" x14ac:dyDescent="0.25">
      <c r="A685" s="8">
        <v>10493</v>
      </c>
      <c r="B685" s="8" t="s">
        <v>1255</v>
      </c>
      <c r="C685" s="8" t="s">
        <v>355</v>
      </c>
      <c r="D685" s="8" t="s">
        <v>279</v>
      </c>
      <c r="E685" s="8" t="s">
        <v>356</v>
      </c>
      <c r="F685" s="8">
        <v>3000</v>
      </c>
    </row>
    <row r="686" spans="1:6" ht="15" customHeight="1" x14ac:dyDescent="0.25">
      <c r="A686" s="8">
        <v>10341</v>
      </c>
      <c r="B686" s="8" t="s">
        <v>1256</v>
      </c>
      <c r="C686" s="8" t="s">
        <v>187</v>
      </c>
      <c r="D686" s="8" t="s">
        <v>177</v>
      </c>
      <c r="E686" s="8" t="s">
        <v>188</v>
      </c>
      <c r="F686" s="8">
        <v>107000</v>
      </c>
    </row>
    <row r="687" spans="1:6" ht="15" customHeight="1" x14ac:dyDescent="0.25">
      <c r="A687" s="8">
        <v>10027</v>
      </c>
      <c r="B687" s="8" t="s">
        <v>1257</v>
      </c>
      <c r="C687" s="8" t="s">
        <v>187</v>
      </c>
      <c r="D687" s="8" t="s">
        <v>197</v>
      </c>
      <c r="E687" s="8" t="s">
        <v>269</v>
      </c>
      <c r="F687" s="8">
        <v>4770</v>
      </c>
    </row>
    <row r="688" spans="1:6" ht="15" customHeight="1" x14ac:dyDescent="0.25">
      <c r="A688" s="8">
        <v>10224</v>
      </c>
      <c r="B688" s="8" t="s">
        <v>1258</v>
      </c>
      <c r="C688" s="8" t="s">
        <v>233</v>
      </c>
      <c r="D688" s="8" t="s">
        <v>282</v>
      </c>
      <c r="E688" s="8" t="s">
        <v>351</v>
      </c>
      <c r="F688" s="8">
        <v>1260</v>
      </c>
    </row>
    <row r="689" spans="1:6" ht="15" customHeight="1" x14ac:dyDescent="0.25">
      <c r="A689" s="8">
        <v>10407</v>
      </c>
      <c r="B689" s="8" t="s">
        <v>1259</v>
      </c>
      <c r="C689" s="8" t="s">
        <v>1260</v>
      </c>
      <c r="D689" s="8" t="s">
        <v>257</v>
      </c>
      <c r="E689" s="8" t="s">
        <v>258</v>
      </c>
      <c r="F689" s="8">
        <v>378.97750000000002</v>
      </c>
    </row>
    <row r="690" spans="1:6" ht="15" customHeight="1" x14ac:dyDescent="0.25">
      <c r="A690" s="8">
        <v>10749</v>
      </c>
      <c r="B690" s="8" t="s">
        <v>1261</v>
      </c>
      <c r="C690" s="8" t="s">
        <v>1262</v>
      </c>
      <c r="D690" s="8" t="s">
        <v>209</v>
      </c>
      <c r="E690" s="8" t="s">
        <v>222</v>
      </c>
      <c r="F690" s="8">
        <v>98975.317800000004</v>
      </c>
    </row>
    <row r="691" spans="1:6" ht="15" customHeight="1" x14ac:dyDescent="0.25">
      <c r="A691" s="8">
        <v>11156</v>
      </c>
      <c r="B691" s="8" t="s">
        <v>1263</v>
      </c>
      <c r="C691" s="8" t="s">
        <v>200</v>
      </c>
      <c r="D691" s="8" t="s">
        <v>201</v>
      </c>
      <c r="E691" s="8" t="s">
        <v>216</v>
      </c>
      <c r="F691" s="8">
        <v>47.0456</v>
      </c>
    </row>
    <row r="692" spans="1:6" ht="15" customHeight="1" x14ac:dyDescent="0.25">
      <c r="A692" s="8">
        <v>10108</v>
      </c>
      <c r="B692" s="8" t="s">
        <v>1264</v>
      </c>
      <c r="C692" s="8" t="s">
        <v>1265</v>
      </c>
      <c r="D692" s="8" t="s">
        <v>181</v>
      </c>
      <c r="E692" s="8" t="s">
        <v>185</v>
      </c>
      <c r="F692" s="8">
        <v>188466.17379999999</v>
      </c>
    </row>
    <row r="693" spans="1:6" ht="15" customHeight="1" x14ac:dyDescent="0.25">
      <c r="A693" s="8">
        <v>10280</v>
      </c>
      <c r="B693" s="8" t="s">
        <v>1266</v>
      </c>
      <c r="C693" s="8" t="s">
        <v>176</v>
      </c>
      <c r="D693" s="8" t="s">
        <v>177</v>
      </c>
      <c r="E693" s="8" t="s">
        <v>425</v>
      </c>
      <c r="F693" s="8">
        <v>3225</v>
      </c>
    </row>
    <row r="694" spans="1:6" ht="15" customHeight="1" x14ac:dyDescent="0.25">
      <c r="A694" s="8">
        <v>10801</v>
      </c>
      <c r="B694" s="8" t="s">
        <v>1267</v>
      </c>
      <c r="C694" s="8" t="s">
        <v>240</v>
      </c>
      <c r="D694" s="8" t="s">
        <v>197</v>
      </c>
      <c r="E694" s="8" t="s">
        <v>1268</v>
      </c>
      <c r="F694" s="8">
        <v>94.519599999999997</v>
      </c>
    </row>
    <row r="695" spans="1:6" ht="15" customHeight="1" x14ac:dyDescent="0.25">
      <c r="A695" s="8">
        <v>10650</v>
      </c>
      <c r="B695" s="8" t="s">
        <v>1269</v>
      </c>
      <c r="C695" s="8" t="s">
        <v>200</v>
      </c>
      <c r="D695" s="8" t="s">
        <v>201</v>
      </c>
      <c r="E695" s="8" t="s">
        <v>377</v>
      </c>
      <c r="F695" s="8">
        <v>66.668999999999997</v>
      </c>
    </row>
    <row r="696" spans="1:6" ht="15" customHeight="1" x14ac:dyDescent="0.25">
      <c r="A696" s="8">
        <v>10174</v>
      </c>
      <c r="B696" s="8" t="s">
        <v>1270</v>
      </c>
      <c r="C696" s="8" t="s">
        <v>729</v>
      </c>
      <c r="D696" s="8" t="s">
        <v>282</v>
      </c>
      <c r="E696" s="8" t="s">
        <v>1271</v>
      </c>
      <c r="F696" s="8">
        <v>19157.848699999999</v>
      </c>
    </row>
    <row r="697" spans="1:6" ht="15" customHeight="1" x14ac:dyDescent="0.25">
      <c r="A697" s="8">
        <v>10764</v>
      </c>
      <c r="B697" s="8" t="s">
        <v>1272</v>
      </c>
      <c r="C697" s="8" t="s">
        <v>221</v>
      </c>
      <c r="D697" s="8" t="s">
        <v>209</v>
      </c>
      <c r="E697" s="8" t="s">
        <v>222</v>
      </c>
      <c r="F697" s="8">
        <v>3107.5</v>
      </c>
    </row>
    <row r="698" spans="1:6" ht="15" customHeight="1" x14ac:dyDescent="0.25">
      <c r="A698" s="8">
        <v>10470</v>
      </c>
      <c r="B698" s="8" t="s">
        <v>1273</v>
      </c>
      <c r="C698" s="8" t="s">
        <v>221</v>
      </c>
      <c r="D698" s="8" t="s">
        <v>320</v>
      </c>
      <c r="E698" s="8" t="s">
        <v>407</v>
      </c>
      <c r="F698" s="8">
        <v>47063.306499999999</v>
      </c>
    </row>
    <row r="699" spans="1:6" ht="15" customHeight="1" x14ac:dyDescent="0.25">
      <c r="A699" s="8">
        <v>10100</v>
      </c>
      <c r="B699" s="8" t="s">
        <v>1274</v>
      </c>
      <c r="C699" s="8" t="s">
        <v>1189</v>
      </c>
      <c r="D699" s="8" t="s">
        <v>340</v>
      </c>
      <c r="E699" s="8" t="s">
        <v>486</v>
      </c>
      <c r="F699" s="8">
        <v>3767.9904000000001</v>
      </c>
    </row>
    <row r="700" spans="1:6" ht="15" customHeight="1" x14ac:dyDescent="0.25">
      <c r="A700" s="8">
        <v>10121</v>
      </c>
      <c r="B700" s="8" t="s">
        <v>1275</v>
      </c>
      <c r="C700" s="8" t="s">
        <v>184</v>
      </c>
      <c r="D700" s="8" t="s">
        <v>181</v>
      </c>
      <c r="E700" s="8" t="s">
        <v>185</v>
      </c>
      <c r="F700" s="8">
        <v>187.8</v>
      </c>
    </row>
    <row r="701" spans="1:6" ht="15" customHeight="1" x14ac:dyDescent="0.25">
      <c r="A701" s="8">
        <v>10186</v>
      </c>
      <c r="B701" s="8" t="s">
        <v>1276</v>
      </c>
      <c r="C701" s="8" t="s">
        <v>180</v>
      </c>
      <c r="D701" s="8" t="s">
        <v>282</v>
      </c>
      <c r="E701" s="8" t="s">
        <v>1277</v>
      </c>
      <c r="F701" s="8">
        <v>43.656999999999996</v>
      </c>
    </row>
    <row r="702" spans="1:6" ht="15" customHeight="1" x14ac:dyDescent="0.25">
      <c r="A702" s="8">
        <v>10753</v>
      </c>
      <c r="B702" s="8" t="s">
        <v>1278</v>
      </c>
      <c r="C702" s="8" t="s">
        <v>208</v>
      </c>
      <c r="D702" s="8" t="s">
        <v>209</v>
      </c>
      <c r="E702" s="8" t="s">
        <v>222</v>
      </c>
      <c r="F702" s="8">
        <v>20310</v>
      </c>
    </row>
    <row r="703" spans="1:6" ht="15" customHeight="1" x14ac:dyDescent="0.25">
      <c r="A703" s="8">
        <v>10340</v>
      </c>
      <c r="B703" s="8" t="s">
        <v>1279</v>
      </c>
      <c r="C703" s="8" t="s">
        <v>187</v>
      </c>
      <c r="D703" s="8" t="s">
        <v>177</v>
      </c>
      <c r="E703" s="8" t="s">
        <v>1280</v>
      </c>
      <c r="F703" s="8">
        <v>2053.3573000000001</v>
      </c>
    </row>
    <row r="704" spans="1:6" ht="15" customHeight="1" x14ac:dyDescent="0.25">
      <c r="A704" s="8">
        <v>10547</v>
      </c>
      <c r="B704" s="8" t="s">
        <v>1281</v>
      </c>
      <c r="C704" s="8" t="s">
        <v>192</v>
      </c>
      <c r="D704" s="8" t="s">
        <v>675</v>
      </c>
      <c r="E704" s="8" t="s">
        <v>1282</v>
      </c>
      <c r="F704" s="8">
        <v>556.40930000000003</v>
      </c>
    </row>
    <row r="705" spans="1:6" ht="15" customHeight="1" x14ac:dyDescent="0.25">
      <c r="A705" s="8">
        <v>10481</v>
      </c>
      <c r="B705" s="8" t="s">
        <v>1283</v>
      </c>
      <c r="C705" s="8" t="s">
        <v>180</v>
      </c>
      <c r="D705" s="8" t="s">
        <v>320</v>
      </c>
      <c r="E705" s="8" t="s">
        <v>1083</v>
      </c>
      <c r="F705" s="8">
        <v>5490.7479000000003</v>
      </c>
    </row>
    <row r="706" spans="1:6" ht="15" customHeight="1" x14ac:dyDescent="0.25">
      <c r="A706" s="8">
        <v>10471</v>
      </c>
      <c r="B706" s="8" t="s">
        <v>1284</v>
      </c>
      <c r="C706" s="8" t="s">
        <v>1285</v>
      </c>
      <c r="D706" s="8" t="s">
        <v>320</v>
      </c>
      <c r="E706" s="8" t="s">
        <v>1286</v>
      </c>
      <c r="F706" s="8">
        <v>4838.4125000000004</v>
      </c>
    </row>
    <row r="707" spans="1:6" ht="15" customHeight="1" x14ac:dyDescent="0.25">
      <c r="A707" s="8">
        <v>10762</v>
      </c>
      <c r="B707" s="8" t="s">
        <v>1287</v>
      </c>
      <c r="C707" s="8" t="s">
        <v>1288</v>
      </c>
      <c r="D707" s="8" t="s">
        <v>209</v>
      </c>
      <c r="E707" s="8" t="s">
        <v>749</v>
      </c>
      <c r="F707" s="8">
        <v>104513.09239999999</v>
      </c>
    </row>
    <row r="708" spans="1:6" ht="15" customHeight="1" x14ac:dyDescent="0.25">
      <c r="A708" s="8">
        <v>10284</v>
      </c>
      <c r="B708" s="8" t="s">
        <v>1289</v>
      </c>
      <c r="C708" s="8" t="s">
        <v>1290</v>
      </c>
      <c r="D708" s="8" t="s">
        <v>177</v>
      </c>
      <c r="E708" s="8" t="s">
        <v>273</v>
      </c>
      <c r="F708" s="8">
        <v>291.875</v>
      </c>
    </row>
    <row r="709" spans="1:6" ht="15" customHeight="1" x14ac:dyDescent="0.25">
      <c r="A709" s="8">
        <v>10465</v>
      </c>
      <c r="B709" s="8" t="s">
        <v>1291</v>
      </c>
      <c r="C709" s="8" t="s">
        <v>221</v>
      </c>
      <c r="D709" s="8" t="s">
        <v>320</v>
      </c>
      <c r="E709" s="8" t="s">
        <v>745</v>
      </c>
      <c r="F709" s="8">
        <v>9409.9711000000007</v>
      </c>
    </row>
    <row r="710" spans="1:6" ht="15" customHeight="1" x14ac:dyDescent="0.25">
      <c r="A710" s="8">
        <v>10745</v>
      </c>
      <c r="B710" s="8" t="s">
        <v>1292</v>
      </c>
      <c r="C710" s="8" t="s">
        <v>221</v>
      </c>
      <c r="D710" s="8" t="s">
        <v>209</v>
      </c>
      <c r="E710" s="8" t="s">
        <v>606</v>
      </c>
      <c r="F710" s="8">
        <v>14604.928099999999</v>
      </c>
    </row>
    <row r="711" spans="1:6" ht="15" customHeight="1" x14ac:dyDescent="0.25">
      <c r="A711" s="8">
        <v>11113</v>
      </c>
      <c r="B711" s="8" t="s">
        <v>1293</v>
      </c>
      <c r="C711" s="8" t="s">
        <v>243</v>
      </c>
      <c r="D711" s="8" t="s">
        <v>244</v>
      </c>
      <c r="E711" s="8" t="s">
        <v>1294</v>
      </c>
      <c r="F711" s="8">
        <v>6.7651000000000003</v>
      </c>
    </row>
    <row r="712" spans="1:6" ht="15" customHeight="1" x14ac:dyDescent="0.25">
      <c r="A712" s="8">
        <v>10014</v>
      </c>
      <c r="B712" s="8" t="s">
        <v>1295</v>
      </c>
      <c r="C712" s="8" t="s">
        <v>841</v>
      </c>
      <c r="D712" s="8" t="s">
        <v>261</v>
      </c>
      <c r="E712" s="8" t="s">
        <v>324</v>
      </c>
      <c r="F712" s="8">
        <v>19365.940900000001</v>
      </c>
    </row>
    <row r="713" spans="1:6" ht="15" customHeight="1" x14ac:dyDescent="0.25">
      <c r="A713" s="8">
        <v>10921</v>
      </c>
      <c r="B713" s="8" t="s">
        <v>1296</v>
      </c>
      <c r="C713" s="8" t="s">
        <v>226</v>
      </c>
      <c r="D713" s="8" t="s">
        <v>227</v>
      </c>
      <c r="E713" s="8" t="s">
        <v>228</v>
      </c>
      <c r="F713" s="8">
        <v>299.83679999999998</v>
      </c>
    </row>
    <row r="714" spans="1:6" ht="15" customHeight="1" x14ac:dyDescent="0.25">
      <c r="A714" s="8">
        <v>11147</v>
      </c>
      <c r="B714" s="8" t="s">
        <v>1297</v>
      </c>
      <c r="C714" s="8" t="s">
        <v>200</v>
      </c>
      <c r="D714" s="8" t="s">
        <v>201</v>
      </c>
      <c r="E714" s="8" t="s">
        <v>216</v>
      </c>
      <c r="F714" s="8">
        <v>48.64</v>
      </c>
    </row>
    <row r="715" spans="1:6" ht="15" customHeight="1" x14ac:dyDescent="0.25">
      <c r="A715" s="8">
        <v>10689</v>
      </c>
      <c r="B715" s="8" t="s">
        <v>1298</v>
      </c>
      <c r="C715" s="8" t="s">
        <v>200</v>
      </c>
      <c r="D715" s="8" t="s">
        <v>201</v>
      </c>
      <c r="E715" s="8" t="s">
        <v>377</v>
      </c>
      <c r="F715" s="8">
        <v>81.452500000000001</v>
      </c>
    </row>
    <row r="716" spans="1:6" ht="15" customHeight="1" x14ac:dyDescent="0.25">
      <c r="A716" s="8">
        <v>10864</v>
      </c>
      <c r="B716" s="8" t="s">
        <v>1299</v>
      </c>
      <c r="C716" s="8" t="s">
        <v>1300</v>
      </c>
      <c r="D716" s="8" t="s">
        <v>282</v>
      </c>
      <c r="E716" s="8" t="s">
        <v>961</v>
      </c>
      <c r="F716" s="8">
        <v>62.079300000000003</v>
      </c>
    </row>
    <row r="717" spans="1:6" ht="15" customHeight="1" x14ac:dyDescent="0.25">
      <c r="A717" s="8">
        <v>10553</v>
      </c>
      <c r="B717" s="8" t="s">
        <v>1301</v>
      </c>
      <c r="C717" s="8" t="s">
        <v>180</v>
      </c>
      <c r="D717" s="8" t="s">
        <v>266</v>
      </c>
      <c r="E717" s="8" t="s">
        <v>421</v>
      </c>
      <c r="F717" s="8">
        <v>1377.7370000000001</v>
      </c>
    </row>
    <row r="718" spans="1:6" ht="15" customHeight="1" x14ac:dyDescent="0.25">
      <c r="A718" s="8">
        <v>10096</v>
      </c>
      <c r="B718" s="8" t="s">
        <v>1302</v>
      </c>
      <c r="C718" s="8" t="s">
        <v>192</v>
      </c>
      <c r="D718" s="8" t="s">
        <v>340</v>
      </c>
      <c r="E718" s="8" t="s">
        <v>1119</v>
      </c>
      <c r="F718" s="8">
        <v>931.88649999999996</v>
      </c>
    </row>
    <row r="719" spans="1:6" ht="15" customHeight="1" x14ac:dyDescent="0.25">
      <c r="A719" s="8">
        <v>10402</v>
      </c>
      <c r="B719" s="8" t="s">
        <v>1303</v>
      </c>
      <c r="C719" s="8" t="s">
        <v>1304</v>
      </c>
      <c r="D719" s="8" t="s">
        <v>257</v>
      </c>
      <c r="E719" s="8" t="s">
        <v>1305</v>
      </c>
      <c r="F719" s="8">
        <v>545.1431</v>
      </c>
    </row>
    <row r="720" spans="1:6" ht="15" customHeight="1" x14ac:dyDescent="0.25">
      <c r="A720" s="8">
        <v>10257</v>
      </c>
      <c r="B720" s="8" t="s">
        <v>1306</v>
      </c>
      <c r="C720" s="8" t="s">
        <v>176</v>
      </c>
      <c r="D720" s="8" t="s">
        <v>177</v>
      </c>
      <c r="E720" s="8" t="s">
        <v>1307</v>
      </c>
      <c r="F720" s="8">
        <v>1742</v>
      </c>
    </row>
    <row r="721" spans="1:6" ht="15" customHeight="1" x14ac:dyDescent="0.25">
      <c r="A721" s="8">
        <v>10162</v>
      </c>
      <c r="B721" s="8" t="s">
        <v>1308</v>
      </c>
      <c r="C721" s="8" t="s">
        <v>180</v>
      </c>
      <c r="D721" s="8" t="s">
        <v>282</v>
      </c>
      <c r="E721" s="8" t="s">
        <v>730</v>
      </c>
      <c r="F721" s="8">
        <v>2000</v>
      </c>
    </row>
    <row r="722" spans="1:6" ht="15" customHeight="1" x14ac:dyDescent="0.25">
      <c r="A722" s="8">
        <v>10178</v>
      </c>
      <c r="B722" s="8" t="s">
        <v>1309</v>
      </c>
      <c r="C722" s="8" t="s">
        <v>627</v>
      </c>
      <c r="D722" s="8" t="s">
        <v>251</v>
      </c>
      <c r="E722" s="8" t="s">
        <v>308</v>
      </c>
      <c r="F722" s="8">
        <v>1560.499</v>
      </c>
    </row>
    <row r="723" spans="1:6" ht="15" customHeight="1" x14ac:dyDescent="0.25">
      <c r="A723" s="8">
        <v>11706</v>
      </c>
      <c r="B723" s="8" t="s">
        <v>1310</v>
      </c>
      <c r="C723" s="8" t="s">
        <v>200</v>
      </c>
      <c r="D723" s="8" t="s">
        <v>201</v>
      </c>
      <c r="E723" s="8" t="s">
        <v>285</v>
      </c>
      <c r="F723" s="8">
        <v>18.5746</v>
      </c>
    </row>
    <row r="724" spans="1:6" ht="15" customHeight="1" x14ac:dyDescent="0.25">
      <c r="A724" s="8">
        <v>10526</v>
      </c>
      <c r="B724" s="8" t="s">
        <v>1311</v>
      </c>
      <c r="C724" s="8" t="s">
        <v>355</v>
      </c>
      <c r="D724" s="8" t="s">
        <v>279</v>
      </c>
      <c r="E724" s="8" t="s">
        <v>379</v>
      </c>
      <c r="F724" s="8">
        <v>500.1884</v>
      </c>
    </row>
    <row r="725" spans="1:6" ht="15" customHeight="1" x14ac:dyDescent="0.25">
      <c r="A725" s="8">
        <v>10338</v>
      </c>
      <c r="B725" s="8" t="s">
        <v>1312</v>
      </c>
      <c r="C725" s="8" t="s">
        <v>187</v>
      </c>
      <c r="D725" s="8" t="s">
        <v>177</v>
      </c>
      <c r="E725" s="8" t="s">
        <v>392</v>
      </c>
      <c r="F725" s="8">
        <v>1515.0201</v>
      </c>
    </row>
    <row r="726" spans="1:6" ht="15" customHeight="1" x14ac:dyDescent="0.25">
      <c r="A726" s="8">
        <v>10356</v>
      </c>
      <c r="B726" s="8" t="s">
        <v>1313</v>
      </c>
      <c r="C726" s="8" t="s">
        <v>176</v>
      </c>
      <c r="D726" s="8" t="s">
        <v>177</v>
      </c>
      <c r="E726" s="8" t="s">
        <v>178</v>
      </c>
      <c r="F726" s="8">
        <v>8940.0560000000005</v>
      </c>
    </row>
    <row r="727" spans="1:6" ht="15" customHeight="1" x14ac:dyDescent="0.25">
      <c r="A727" s="8">
        <v>10606</v>
      </c>
      <c r="B727" s="8" t="s">
        <v>1314</v>
      </c>
      <c r="C727" s="8" t="s">
        <v>355</v>
      </c>
      <c r="D727" s="8" t="s">
        <v>266</v>
      </c>
      <c r="E727" s="8" t="s">
        <v>360</v>
      </c>
      <c r="F727" s="8">
        <v>247.59530000000001</v>
      </c>
    </row>
    <row r="728" spans="1:6" ht="15" customHeight="1" x14ac:dyDescent="0.25">
      <c r="A728" s="8">
        <v>10339</v>
      </c>
      <c r="B728" s="8" t="s">
        <v>1315</v>
      </c>
      <c r="C728" s="8" t="s">
        <v>187</v>
      </c>
      <c r="D728" s="8" t="s">
        <v>177</v>
      </c>
      <c r="E728" s="8" t="s">
        <v>1316</v>
      </c>
      <c r="F728" s="8">
        <v>268.87169999999998</v>
      </c>
    </row>
    <row r="729" spans="1:6" ht="15" customHeight="1" x14ac:dyDescent="0.25">
      <c r="A729" s="8">
        <v>10182</v>
      </c>
      <c r="B729" s="8" t="s">
        <v>1317</v>
      </c>
      <c r="C729" s="8" t="s">
        <v>435</v>
      </c>
      <c r="D729" s="8" t="s">
        <v>213</v>
      </c>
      <c r="E729" s="8" t="s">
        <v>214</v>
      </c>
      <c r="F729" s="8">
        <v>1031.3517999999999</v>
      </c>
    </row>
    <row r="730" spans="1:6" ht="15" customHeight="1" x14ac:dyDescent="0.25">
      <c r="A730" s="8">
        <v>10291</v>
      </c>
      <c r="B730" s="8" t="s">
        <v>1318</v>
      </c>
      <c r="C730" s="8" t="s">
        <v>756</v>
      </c>
      <c r="D730" s="8" t="s">
        <v>177</v>
      </c>
      <c r="E730" s="8" t="s">
        <v>1319</v>
      </c>
      <c r="F730" s="8">
        <v>1760.5001</v>
      </c>
    </row>
    <row r="731" spans="1:6" ht="15" customHeight="1" x14ac:dyDescent="0.25">
      <c r="A731" s="8">
        <v>10733</v>
      </c>
      <c r="B731" s="8" t="s">
        <v>1320</v>
      </c>
      <c r="C731" s="8" t="s">
        <v>272</v>
      </c>
      <c r="D731" s="8" t="s">
        <v>251</v>
      </c>
      <c r="E731" s="8" t="s">
        <v>308</v>
      </c>
      <c r="F731" s="8">
        <v>131.8271</v>
      </c>
    </row>
    <row r="732" spans="1:6" ht="15" customHeight="1" x14ac:dyDescent="0.25">
      <c r="A732" s="8">
        <v>10690</v>
      </c>
      <c r="B732" s="8" t="s">
        <v>1321</v>
      </c>
      <c r="C732" s="8" t="s">
        <v>200</v>
      </c>
      <c r="D732" s="8" t="s">
        <v>201</v>
      </c>
      <c r="E732" s="8" t="s">
        <v>202</v>
      </c>
      <c r="F732" s="8">
        <v>278.86430000000001</v>
      </c>
    </row>
    <row r="733" spans="1:6" ht="15" customHeight="1" x14ac:dyDescent="0.25">
      <c r="A733" s="8">
        <v>11597</v>
      </c>
      <c r="B733" s="8" t="s">
        <v>1322</v>
      </c>
      <c r="C733" s="8" t="s">
        <v>196</v>
      </c>
      <c r="D733" s="8" t="s">
        <v>197</v>
      </c>
      <c r="E733" s="8" t="s">
        <v>298</v>
      </c>
      <c r="F733" s="8">
        <v>69.965999999999994</v>
      </c>
    </row>
    <row r="734" spans="1:6" ht="15" customHeight="1" x14ac:dyDescent="0.25">
      <c r="A734" s="8">
        <v>10726</v>
      </c>
      <c r="B734" s="8" t="s">
        <v>1323</v>
      </c>
      <c r="C734" s="8" t="s">
        <v>180</v>
      </c>
      <c r="D734" s="8" t="s">
        <v>251</v>
      </c>
      <c r="E734" s="8" t="s">
        <v>1324</v>
      </c>
      <c r="F734" s="8">
        <v>36.400300000000001</v>
      </c>
    </row>
    <row r="735" spans="1:6" ht="15" customHeight="1" x14ac:dyDescent="0.25">
      <c r="A735" s="8">
        <v>10603</v>
      </c>
      <c r="B735" s="8" t="s">
        <v>1325</v>
      </c>
      <c r="C735" s="8" t="s">
        <v>1326</v>
      </c>
      <c r="D735" s="8" t="s">
        <v>266</v>
      </c>
      <c r="E735" s="8" t="s">
        <v>267</v>
      </c>
      <c r="F735" s="8">
        <v>1371.96</v>
      </c>
    </row>
    <row r="736" spans="1:6" ht="15" customHeight="1" x14ac:dyDescent="0.25">
      <c r="A736" s="8">
        <v>10574</v>
      </c>
      <c r="B736" s="8" t="s">
        <v>1327</v>
      </c>
      <c r="C736" s="8" t="s">
        <v>575</v>
      </c>
      <c r="D736" s="8" t="s">
        <v>266</v>
      </c>
      <c r="E736" s="8" t="s">
        <v>267</v>
      </c>
      <c r="F736" s="8">
        <v>17748.150600000001</v>
      </c>
    </row>
    <row r="737" spans="1:6" ht="15" customHeight="1" x14ac:dyDescent="0.25">
      <c r="A737" s="8">
        <v>10204</v>
      </c>
      <c r="B737" s="8" t="s">
        <v>1328</v>
      </c>
      <c r="C737" s="8" t="s">
        <v>435</v>
      </c>
      <c r="D737" s="8" t="s">
        <v>282</v>
      </c>
      <c r="E737" s="8" t="s">
        <v>1329</v>
      </c>
      <c r="F737" s="8">
        <v>142.01</v>
      </c>
    </row>
    <row r="738" spans="1:6" ht="15" customHeight="1" x14ac:dyDescent="0.25">
      <c r="A738" s="8">
        <v>10417</v>
      </c>
      <c r="B738" s="8" t="s">
        <v>1330</v>
      </c>
      <c r="C738" s="8" t="s">
        <v>1331</v>
      </c>
      <c r="D738" s="8" t="s">
        <v>257</v>
      </c>
      <c r="E738" s="8" t="s">
        <v>372</v>
      </c>
      <c r="F738" s="8">
        <v>23367.808099999998</v>
      </c>
    </row>
    <row r="739" spans="1:6" ht="15" customHeight="1" x14ac:dyDescent="0.25">
      <c r="A739" s="8">
        <v>10499</v>
      </c>
      <c r="B739" s="8" t="s">
        <v>1332</v>
      </c>
      <c r="C739" s="8" t="s">
        <v>355</v>
      </c>
      <c r="D739" s="8" t="s">
        <v>279</v>
      </c>
      <c r="E739" s="8" t="s">
        <v>379</v>
      </c>
      <c r="F739" s="8">
        <v>56750.458700000003</v>
      </c>
    </row>
    <row r="740" spans="1:6" ht="15" customHeight="1" x14ac:dyDescent="0.25">
      <c r="A740" s="8">
        <v>11019</v>
      </c>
      <c r="B740" s="8" t="s">
        <v>1333</v>
      </c>
      <c r="C740" s="8" t="s">
        <v>278</v>
      </c>
      <c r="D740" s="8" t="s">
        <v>266</v>
      </c>
      <c r="E740" s="8" t="s">
        <v>586</v>
      </c>
      <c r="F740" s="8">
        <v>241.21850000000001</v>
      </c>
    </row>
    <row r="741" spans="1:6" ht="15" customHeight="1" x14ac:dyDescent="0.25">
      <c r="A741" s="8">
        <v>10621</v>
      </c>
      <c r="B741" s="8" t="s">
        <v>1334</v>
      </c>
      <c r="C741" s="8" t="s">
        <v>243</v>
      </c>
      <c r="D741" s="8" t="s">
        <v>244</v>
      </c>
      <c r="E741" s="8" t="s">
        <v>1335</v>
      </c>
      <c r="F741" s="8">
        <v>268.95</v>
      </c>
    </row>
    <row r="742" spans="1:6" ht="15" customHeight="1" x14ac:dyDescent="0.25">
      <c r="A742" s="8">
        <v>10387</v>
      </c>
      <c r="B742" s="8" t="s">
        <v>1336</v>
      </c>
      <c r="C742" s="8" t="s">
        <v>661</v>
      </c>
      <c r="D742" s="8" t="s">
        <v>205</v>
      </c>
      <c r="E742" s="8" t="s">
        <v>219</v>
      </c>
      <c r="F742" s="8">
        <v>477200</v>
      </c>
    </row>
    <row r="743" spans="1:6" ht="15" customHeight="1" x14ac:dyDescent="0.25">
      <c r="A743" s="8">
        <v>10165</v>
      </c>
      <c r="B743" s="8" t="s">
        <v>1337</v>
      </c>
      <c r="C743" s="8" t="s">
        <v>1338</v>
      </c>
      <c r="D743" s="8" t="s">
        <v>282</v>
      </c>
      <c r="E743" s="8" t="s">
        <v>428</v>
      </c>
      <c r="F743" s="8">
        <v>2716.0021999999999</v>
      </c>
    </row>
    <row r="744" spans="1:6" ht="15" customHeight="1" x14ac:dyDescent="0.25">
      <c r="A744" s="8">
        <v>10361</v>
      </c>
      <c r="B744" s="8" t="s">
        <v>1339</v>
      </c>
      <c r="C744" s="8" t="s">
        <v>272</v>
      </c>
      <c r="D744" s="8" t="s">
        <v>177</v>
      </c>
      <c r="E744" s="8" t="s">
        <v>275</v>
      </c>
      <c r="F744" s="8">
        <v>3381</v>
      </c>
    </row>
    <row r="745" spans="1:6" ht="15" customHeight="1" x14ac:dyDescent="0.25">
      <c r="A745" s="8">
        <v>10400</v>
      </c>
      <c r="B745" s="8" t="s">
        <v>1340</v>
      </c>
      <c r="C745" s="8" t="s">
        <v>1341</v>
      </c>
      <c r="D745" s="8" t="s">
        <v>257</v>
      </c>
      <c r="E745" s="8" t="s">
        <v>258</v>
      </c>
      <c r="F745" s="8">
        <v>317.64640000000003</v>
      </c>
    </row>
    <row r="746" spans="1:6" ht="15" customHeight="1" x14ac:dyDescent="0.25">
      <c r="A746" s="8">
        <v>10786</v>
      </c>
      <c r="B746" s="8" t="s">
        <v>1342</v>
      </c>
      <c r="C746" s="8" t="s">
        <v>1343</v>
      </c>
      <c r="D746" s="8" t="s">
        <v>261</v>
      </c>
      <c r="E746" s="8" t="s">
        <v>324</v>
      </c>
      <c r="F746" s="8">
        <v>61058.095200000003</v>
      </c>
    </row>
    <row r="747" spans="1:6" ht="15" customHeight="1" x14ac:dyDescent="0.25">
      <c r="A747" s="8">
        <v>10198</v>
      </c>
      <c r="B747" s="8" t="s">
        <v>1344</v>
      </c>
      <c r="C747" s="8" t="s">
        <v>435</v>
      </c>
      <c r="D747" s="8" t="s">
        <v>282</v>
      </c>
      <c r="E747" s="8" t="s">
        <v>961</v>
      </c>
      <c r="F747" s="8">
        <v>355.56150000000002</v>
      </c>
    </row>
    <row r="748" spans="1:6" ht="15" customHeight="1" x14ac:dyDescent="0.25">
      <c r="A748" s="8">
        <v>10967</v>
      </c>
      <c r="B748" s="8" t="s">
        <v>1345</v>
      </c>
      <c r="C748" s="8" t="s">
        <v>1346</v>
      </c>
      <c r="D748" s="8" t="s">
        <v>248</v>
      </c>
      <c r="E748" s="8" t="s">
        <v>249</v>
      </c>
      <c r="F748" s="8">
        <v>92.075000000000003</v>
      </c>
    </row>
    <row r="749" spans="1:6" ht="15" customHeight="1" x14ac:dyDescent="0.25">
      <c r="A749" s="8">
        <v>10155</v>
      </c>
      <c r="B749" s="8" t="s">
        <v>1347</v>
      </c>
      <c r="C749" s="8" t="s">
        <v>293</v>
      </c>
      <c r="D749" s="8" t="s">
        <v>294</v>
      </c>
      <c r="E749" s="8" t="s">
        <v>295</v>
      </c>
      <c r="F749" s="8">
        <v>21320</v>
      </c>
    </row>
    <row r="750" spans="1:6" ht="15" customHeight="1" x14ac:dyDescent="0.25">
      <c r="A750" s="8">
        <v>10406</v>
      </c>
      <c r="B750" s="8" t="s">
        <v>1348</v>
      </c>
      <c r="C750" s="8" t="s">
        <v>1349</v>
      </c>
      <c r="D750" s="8" t="s">
        <v>257</v>
      </c>
      <c r="E750" s="8" t="s">
        <v>1350</v>
      </c>
      <c r="F750" s="8">
        <v>8719.2759999999998</v>
      </c>
    </row>
    <row r="751" spans="1:6" ht="15" customHeight="1" x14ac:dyDescent="0.25">
      <c r="A751" s="8">
        <v>10581</v>
      </c>
      <c r="B751" s="8" t="s">
        <v>1351</v>
      </c>
      <c r="C751" s="8" t="s">
        <v>1352</v>
      </c>
      <c r="D751" s="8" t="s">
        <v>266</v>
      </c>
      <c r="E751" s="8" t="s">
        <v>588</v>
      </c>
      <c r="F751" s="8">
        <v>330.35820000000001</v>
      </c>
    </row>
    <row r="752" spans="1:6" ht="15" customHeight="1" x14ac:dyDescent="0.25">
      <c r="A752" s="8">
        <v>10358</v>
      </c>
      <c r="B752" s="8" t="s">
        <v>1353</v>
      </c>
      <c r="C752" s="8" t="s">
        <v>756</v>
      </c>
      <c r="D752" s="8" t="s">
        <v>177</v>
      </c>
      <c r="E752" s="8" t="s">
        <v>446</v>
      </c>
      <c r="F752" s="8">
        <v>428</v>
      </c>
    </row>
    <row r="753" spans="1:6" ht="15" customHeight="1" x14ac:dyDescent="0.25">
      <c r="A753" s="8">
        <v>11832</v>
      </c>
      <c r="B753" s="8" t="s">
        <v>1354</v>
      </c>
      <c r="C753" s="8" t="s">
        <v>332</v>
      </c>
      <c r="D753" s="8" t="s">
        <v>261</v>
      </c>
      <c r="E753" s="8" t="s">
        <v>324</v>
      </c>
      <c r="F753" s="8">
        <v>45544.962699999996</v>
      </c>
    </row>
    <row r="754" spans="1:6" ht="15" customHeight="1" x14ac:dyDescent="0.25">
      <c r="A754" s="8">
        <v>10393</v>
      </c>
      <c r="B754" s="8" t="s">
        <v>1355</v>
      </c>
      <c r="C754" s="8" t="s">
        <v>256</v>
      </c>
      <c r="D754" s="8" t="s">
        <v>205</v>
      </c>
      <c r="E754" s="8" t="s">
        <v>219</v>
      </c>
      <c r="F754" s="8">
        <v>277.2346</v>
      </c>
    </row>
    <row r="755" spans="1:6" ht="15" customHeight="1" x14ac:dyDescent="0.25">
      <c r="A755" s="8">
        <v>10995</v>
      </c>
      <c r="B755" s="8" t="s">
        <v>1356</v>
      </c>
      <c r="C755" s="8" t="s">
        <v>482</v>
      </c>
      <c r="D755" s="8" t="s">
        <v>279</v>
      </c>
      <c r="E755" s="8" t="s">
        <v>379</v>
      </c>
      <c r="F755" s="8">
        <v>304.02809999999999</v>
      </c>
    </row>
    <row r="756" spans="1:6" ht="15" customHeight="1" x14ac:dyDescent="0.25">
      <c r="A756" s="8">
        <v>10447</v>
      </c>
      <c r="B756" s="8" t="s">
        <v>1357</v>
      </c>
      <c r="C756" s="8" t="s">
        <v>478</v>
      </c>
      <c r="D756" s="8" t="s">
        <v>227</v>
      </c>
      <c r="E756" s="8" t="s">
        <v>228</v>
      </c>
      <c r="F756" s="8">
        <v>1572.2693999999999</v>
      </c>
    </row>
    <row r="757" spans="1:6" ht="15" customHeight="1" x14ac:dyDescent="0.25">
      <c r="A757" s="8">
        <v>10084</v>
      </c>
      <c r="B757" s="8" t="s">
        <v>1358</v>
      </c>
      <c r="C757" s="8" t="s">
        <v>221</v>
      </c>
      <c r="D757" s="8" t="s">
        <v>340</v>
      </c>
      <c r="E757" s="8" t="s">
        <v>620</v>
      </c>
      <c r="F757" s="8">
        <v>487.375</v>
      </c>
    </row>
    <row r="758" spans="1:6" ht="15" customHeight="1" x14ac:dyDescent="0.25">
      <c r="A758" s="8">
        <v>10346</v>
      </c>
      <c r="B758" s="8" t="s">
        <v>1359</v>
      </c>
      <c r="C758" s="8" t="s">
        <v>272</v>
      </c>
      <c r="D758" s="8" t="s">
        <v>177</v>
      </c>
      <c r="E758" s="8" t="s">
        <v>396</v>
      </c>
      <c r="F758" s="8">
        <v>8965</v>
      </c>
    </row>
    <row r="759" spans="1:6" ht="15" customHeight="1" x14ac:dyDescent="0.25">
      <c r="A759" s="8">
        <v>10747</v>
      </c>
      <c r="B759" s="8" t="s">
        <v>1360</v>
      </c>
      <c r="C759" s="8" t="s">
        <v>221</v>
      </c>
      <c r="D759" s="8" t="s">
        <v>209</v>
      </c>
      <c r="E759" s="8" t="s">
        <v>222</v>
      </c>
      <c r="F759" s="8">
        <v>7980</v>
      </c>
    </row>
    <row r="760" spans="1:6" ht="15" customHeight="1" x14ac:dyDescent="0.25">
      <c r="A760" s="8">
        <v>10748</v>
      </c>
      <c r="B760" s="8" t="s">
        <v>1361</v>
      </c>
      <c r="C760" s="8" t="s">
        <v>221</v>
      </c>
      <c r="D760" s="8" t="s">
        <v>209</v>
      </c>
      <c r="E760" s="8" t="s">
        <v>222</v>
      </c>
      <c r="F760" s="8">
        <v>4327</v>
      </c>
    </row>
    <row r="761" spans="1:6" ht="15" customHeight="1" x14ac:dyDescent="0.25">
      <c r="A761" s="8">
        <v>10761</v>
      </c>
      <c r="B761" s="8" t="s">
        <v>1362</v>
      </c>
      <c r="C761" s="8" t="s">
        <v>221</v>
      </c>
      <c r="D761" s="8" t="s">
        <v>209</v>
      </c>
      <c r="E761" s="8" t="s">
        <v>222</v>
      </c>
      <c r="F761" s="8">
        <v>2762</v>
      </c>
    </row>
    <row r="762" spans="1:6" ht="15" customHeight="1" x14ac:dyDescent="0.25">
      <c r="A762" s="8">
        <v>10048</v>
      </c>
      <c r="B762" s="8" t="s">
        <v>1363</v>
      </c>
      <c r="C762" s="8" t="s">
        <v>176</v>
      </c>
      <c r="D762" s="8" t="s">
        <v>197</v>
      </c>
      <c r="E762" s="8" t="s">
        <v>1364</v>
      </c>
      <c r="F762" s="8">
        <v>782.920298</v>
      </c>
    </row>
    <row r="763" spans="1:6" ht="15" customHeight="1" x14ac:dyDescent="0.25">
      <c r="A763" s="8">
        <v>10595</v>
      </c>
      <c r="B763" s="8" t="s">
        <v>1365</v>
      </c>
      <c r="C763" s="8" t="s">
        <v>180</v>
      </c>
      <c r="D763" s="8" t="s">
        <v>266</v>
      </c>
      <c r="E763" s="8" t="s">
        <v>421</v>
      </c>
      <c r="F763" s="8">
        <v>39.152000000000001</v>
      </c>
    </row>
    <row r="764" spans="1:6" ht="15" customHeight="1" x14ac:dyDescent="0.25">
      <c r="A764" s="8">
        <v>10687</v>
      </c>
      <c r="B764" s="8" t="s">
        <v>1366</v>
      </c>
      <c r="C764" s="8" t="s">
        <v>200</v>
      </c>
      <c r="D764" s="8" t="s">
        <v>201</v>
      </c>
      <c r="E764" s="8" t="s">
        <v>377</v>
      </c>
      <c r="F764" s="8">
        <v>88.886200000000002</v>
      </c>
    </row>
    <row r="765" spans="1:6" ht="15" customHeight="1" x14ac:dyDescent="0.25">
      <c r="A765" s="8">
        <v>10441</v>
      </c>
      <c r="B765" s="8" t="s">
        <v>1367</v>
      </c>
      <c r="C765" s="8" t="s">
        <v>226</v>
      </c>
      <c r="D765" s="8" t="s">
        <v>227</v>
      </c>
      <c r="E765" s="8" t="s">
        <v>698</v>
      </c>
      <c r="F765" s="8">
        <v>183.99119999999999</v>
      </c>
    </row>
    <row r="766" spans="1:6" ht="15" customHeight="1" x14ac:dyDescent="0.25">
      <c r="A766" s="8">
        <v>10579</v>
      </c>
      <c r="B766" s="8" t="s">
        <v>1368</v>
      </c>
      <c r="C766" s="8" t="s">
        <v>233</v>
      </c>
      <c r="D766" s="8" t="s">
        <v>266</v>
      </c>
      <c r="E766" s="8" t="s">
        <v>588</v>
      </c>
      <c r="F766" s="8">
        <v>12606.1963</v>
      </c>
    </row>
    <row r="767" spans="1:6" ht="15" customHeight="1" x14ac:dyDescent="0.25">
      <c r="A767" s="8">
        <v>10482</v>
      </c>
      <c r="B767" s="8" t="s">
        <v>1369</v>
      </c>
      <c r="C767" s="8" t="s">
        <v>221</v>
      </c>
      <c r="D767" s="8" t="s">
        <v>320</v>
      </c>
      <c r="E767" s="8" t="s">
        <v>407</v>
      </c>
      <c r="F767" s="8">
        <v>4652</v>
      </c>
    </row>
    <row r="768" spans="1:6" ht="15" customHeight="1" x14ac:dyDescent="0.25">
      <c r="A768" s="8">
        <v>10117</v>
      </c>
      <c r="B768" s="8" t="s">
        <v>1370</v>
      </c>
      <c r="C768" s="8" t="s">
        <v>180</v>
      </c>
      <c r="D768" s="8" t="s">
        <v>181</v>
      </c>
      <c r="E768" s="8" t="s">
        <v>237</v>
      </c>
      <c r="F768" s="8">
        <v>186.5</v>
      </c>
    </row>
    <row r="769" spans="1:6" ht="15" customHeight="1" x14ac:dyDescent="0.25">
      <c r="A769" s="8">
        <v>11612</v>
      </c>
      <c r="B769" s="8" t="s">
        <v>1371</v>
      </c>
      <c r="C769" s="8" t="s">
        <v>212</v>
      </c>
      <c r="D769" s="8" t="s">
        <v>251</v>
      </c>
      <c r="E769" s="8" t="s">
        <v>581</v>
      </c>
      <c r="F769" s="8">
        <v>35.441200000000002</v>
      </c>
    </row>
    <row r="770" spans="1:6" ht="15" customHeight="1" x14ac:dyDescent="0.25">
      <c r="A770" s="8">
        <v>11177</v>
      </c>
      <c r="B770" s="8" t="s">
        <v>1372</v>
      </c>
      <c r="C770" s="8" t="s">
        <v>435</v>
      </c>
      <c r="D770" s="8" t="s">
        <v>251</v>
      </c>
      <c r="E770" s="8" t="s">
        <v>847</v>
      </c>
      <c r="F770" s="8">
        <v>1568.3449000000001</v>
      </c>
    </row>
    <row r="771" spans="1:6" ht="15" customHeight="1" x14ac:dyDescent="0.25">
      <c r="A771" s="8">
        <v>10214</v>
      </c>
      <c r="B771" s="8" t="s">
        <v>1373</v>
      </c>
      <c r="C771" s="8" t="s">
        <v>1225</v>
      </c>
      <c r="D771" s="8" t="s">
        <v>282</v>
      </c>
      <c r="E771" s="8" t="s">
        <v>657</v>
      </c>
      <c r="F771" s="8">
        <v>40.228700000000003</v>
      </c>
    </row>
    <row r="772" spans="1:6" ht="15" customHeight="1" x14ac:dyDescent="0.25">
      <c r="A772" s="8">
        <v>11785</v>
      </c>
      <c r="B772" s="8" t="s">
        <v>1374</v>
      </c>
      <c r="C772" s="8" t="s">
        <v>882</v>
      </c>
      <c r="D772" s="8" t="s">
        <v>282</v>
      </c>
      <c r="E772" s="8" t="s">
        <v>537</v>
      </c>
      <c r="F772" s="8">
        <v>3.4016000000000002</v>
      </c>
    </row>
    <row r="773" spans="1:6" ht="15" customHeight="1" x14ac:dyDescent="0.25">
      <c r="A773" s="8">
        <v>10502</v>
      </c>
      <c r="B773" s="8" t="s">
        <v>1375</v>
      </c>
      <c r="C773" s="8" t="s">
        <v>355</v>
      </c>
      <c r="D773" s="8" t="s">
        <v>279</v>
      </c>
      <c r="E773" s="8" t="s">
        <v>379</v>
      </c>
      <c r="F773" s="8">
        <v>15560.6</v>
      </c>
    </row>
    <row r="774" spans="1:6" ht="15" customHeight="1" x14ac:dyDescent="0.25">
      <c r="A774" s="8">
        <v>10172</v>
      </c>
      <c r="B774" s="8" t="s">
        <v>1376</v>
      </c>
      <c r="C774" s="8" t="s">
        <v>180</v>
      </c>
      <c r="D774" s="8" t="s">
        <v>282</v>
      </c>
      <c r="E774" s="8" t="s">
        <v>1377</v>
      </c>
      <c r="F774" s="8">
        <v>135.03319999999999</v>
      </c>
    </row>
    <row r="775" spans="1:6" ht="15" customHeight="1" x14ac:dyDescent="0.25">
      <c r="A775" s="8">
        <v>10263</v>
      </c>
      <c r="B775" s="8" t="s">
        <v>1378</v>
      </c>
      <c r="C775" s="8" t="s">
        <v>176</v>
      </c>
      <c r="D775" s="8" t="s">
        <v>177</v>
      </c>
      <c r="E775" s="8" t="s">
        <v>254</v>
      </c>
      <c r="F775" s="8">
        <v>6019.92</v>
      </c>
    </row>
    <row r="776" spans="1:6" ht="15" customHeight="1" x14ac:dyDescent="0.25">
      <c r="A776" s="8">
        <v>10171</v>
      </c>
      <c r="B776" s="8" t="s">
        <v>1379</v>
      </c>
      <c r="C776" s="8" t="s">
        <v>312</v>
      </c>
      <c r="D776" s="8" t="s">
        <v>282</v>
      </c>
      <c r="E776" s="8" t="s">
        <v>1065</v>
      </c>
      <c r="F776" s="8">
        <v>25.418600000000001</v>
      </c>
    </row>
    <row r="777" spans="1:6" ht="15" customHeight="1" x14ac:dyDescent="0.25">
      <c r="A777" s="8">
        <v>10711</v>
      </c>
      <c r="B777" s="8" t="s">
        <v>1380</v>
      </c>
      <c r="C777" s="8" t="s">
        <v>200</v>
      </c>
      <c r="D777" s="8" t="s">
        <v>201</v>
      </c>
      <c r="E777" s="8" t="s">
        <v>377</v>
      </c>
      <c r="F777" s="8">
        <v>93.048299999999998</v>
      </c>
    </row>
    <row r="778" spans="1:6" ht="15" customHeight="1" x14ac:dyDescent="0.25">
      <c r="A778" s="8">
        <v>10253</v>
      </c>
      <c r="B778" s="8" t="s">
        <v>1381</v>
      </c>
      <c r="C778" s="8" t="s">
        <v>756</v>
      </c>
      <c r="D778" s="8" t="s">
        <v>177</v>
      </c>
      <c r="E778" s="8" t="s">
        <v>1319</v>
      </c>
      <c r="F778" s="8">
        <v>1421.6237000000001</v>
      </c>
    </row>
    <row r="779" spans="1:6" ht="15" customHeight="1" x14ac:dyDescent="0.25">
      <c r="A779" s="8">
        <v>10252</v>
      </c>
      <c r="B779" s="8" t="s">
        <v>1382</v>
      </c>
      <c r="C779" s="8" t="s">
        <v>176</v>
      </c>
      <c r="D779" s="8" t="s">
        <v>177</v>
      </c>
      <c r="E779" s="8" t="s">
        <v>300</v>
      </c>
      <c r="F779" s="8">
        <v>11748</v>
      </c>
    </row>
    <row r="780" spans="1:6" ht="15" customHeight="1" x14ac:dyDescent="0.25">
      <c r="A780" s="8">
        <v>10637</v>
      </c>
      <c r="B780" s="8" t="s">
        <v>1383</v>
      </c>
      <c r="C780" s="8" t="s">
        <v>200</v>
      </c>
      <c r="D780" s="8" t="s">
        <v>201</v>
      </c>
      <c r="E780" s="8" t="s">
        <v>216</v>
      </c>
      <c r="F780" s="8">
        <v>208.76939999999999</v>
      </c>
    </row>
    <row r="781" spans="1:6" ht="15" customHeight="1" x14ac:dyDescent="0.25">
      <c r="A781" s="8">
        <v>10132</v>
      </c>
      <c r="B781" s="8" t="s">
        <v>1384</v>
      </c>
      <c r="C781" s="8" t="s">
        <v>200</v>
      </c>
      <c r="D781" s="8" t="s">
        <v>181</v>
      </c>
      <c r="E781" s="8" t="s">
        <v>1385</v>
      </c>
      <c r="F781" s="8">
        <v>117.87</v>
      </c>
    </row>
    <row r="782" spans="1:6" ht="15" customHeight="1" x14ac:dyDescent="0.25">
      <c r="A782" s="8">
        <v>10850</v>
      </c>
      <c r="B782" s="8" t="s">
        <v>1386</v>
      </c>
      <c r="C782" s="8" t="s">
        <v>312</v>
      </c>
      <c r="D782" s="8" t="s">
        <v>282</v>
      </c>
      <c r="E782" s="8" t="s">
        <v>287</v>
      </c>
      <c r="F782" s="8">
        <v>26488.943599999999</v>
      </c>
    </row>
    <row r="783" spans="1:6" ht="15" customHeight="1" x14ac:dyDescent="0.25">
      <c r="A783" s="8">
        <v>10062</v>
      </c>
      <c r="B783" s="8" t="s">
        <v>1387</v>
      </c>
      <c r="C783" s="8" t="s">
        <v>196</v>
      </c>
      <c r="D783" s="8" t="s">
        <v>197</v>
      </c>
      <c r="E783" s="8" t="s">
        <v>198</v>
      </c>
      <c r="F783" s="8">
        <v>48.2</v>
      </c>
    </row>
    <row r="784" spans="1:6" ht="15" customHeight="1" x14ac:dyDescent="0.25">
      <c r="A784" s="8">
        <v>10211</v>
      </c>
      <c r="B784" s="8" t="s">
        <v>1388</v>
      </c>
      <c r="C784" s="8" t="s">
        <v>627</v>
      </c>
      <c r="D784" s="8" t="s">
        <v>282</v>
      </c>
      <c r="E784" s="8" t="s">
        <v>987</v>
      </c>
      <c r="F784" s="8">
        <v>3149.2604000000001</v>
      </c>
    </row>
    <row r="785" spans="1:6" ht="15" customHeight="1" x14ac:dyDescent="0.25">
      <c r="A785" s="8">
        <v>10545</v>
      </c>
      <c r="B785" s="8" t="s">
        <v>1389</v>
      </c>
      <c r="C785" s="8" t="s">
        <v>965</v>
      </c>
      <c r="D785" s="8" t="s">
        <v>279</v>
      </c>
      <c r="E785" s="8" t="s">
        <v>966</v>
      </c>
      <c r="F785" s="8">
        <v>6.9183000000000003</v>
      </c>
    </row>
    <row r="786" spans="1:6" ht="15" customHeight="1" x14ac:dyDescent="0.25">
      <c r="A786" s="8">
        <v>10727</v>
      </c>
      <c r="B786" s="8" t="s">
        <v>1390</v>
      </c>
      <c r="C786" s="8" t="s">
        <v>180</v>
      </c>
      <c r="D786" s="8" t="s">
        <v>251</v>
      </c>
      <c r="E786" s="8" t="s">
        <v>1391</v>
      </c>
      <c r="F786" s="8">
        <v>1159.2049999999999</v>
      </c>
    </row>
    <row r="787" spans="1:6" ht="15" customHeight="1" x14ac:dyDescent="0.25">
      <c r="A787" s="8">
        <v>10444</v>
      </c>
      <c r="B787" s="8" t="s">
        <v>1392</v>
      </c>
      <c r="C787" s="8" t="s">
        <v>226</v>
      </c>
      <c r="D787" s="8" t="s">
        <v>227</v>
      </c>
      <c r="E787" s="8" t="s">
        <v>719</v>
      </c>
      <c r="F787" s="8">
        <v>586.77499999999998</v>
      </c>
    </row>
    <row r="788" spans="1:6" ht="15" customHeight="1" x14ac:dyDescent="0.25">
      <c r="A788" s="8">
        <v>10418</v>
      </c>
      <c r="B788" s="8" t="s">
        <v>1393</v>
      </c>
      <c r="C788" s="8" t="s">
        <v>1394</v>
      </c>
      <c r="D788" s="8" t="s">
        <v>257</v>
      </c>
      <c r="E788" s="8" t="s">
        <v>372</v>
      </c>
      <c r="F788" s="8">
        <v>9100</v>
      </c>
    </row>
    <row r="789" spans="1:6" ht="15" customHeight="1" x14ac:dyDescent="0.25">
      <c r="A789" s="8">
        <v>11009</v>
      </c>
      <c r="B789" s="8" t="s">
        <v>1395</v>
      </c>
      <c r="C789" s="8" t="s">
        <v>1396</v>
      </c>
      <c r="D789" s="8" t="s">
        <v>675</v>
      </c>
      <c r="E789" s="8" t="s">
        <v>1397</v>
      </c>
      <c r="F789" s="8">
        <v>63.296700000000001</v>
      </c>
    </row>
    <row r="790" spans="1:6" ht="15" customHeight="1" x14ac:dyDescent="0.25">
      <c r="A790" s="8">
        <v>10199</v>
      </c>
      <c r="B790" s="8" t="s">
        <v>1398</v>
      </c>
      <c r="C790" s="8" t="s">
        <v>212</v>
      </c>
      <c r="D790" s="8" t="s">
        <v>282</v>
      </c>
      <c r="E790" s="8" t="s">
        <v>850</v>
      </c>
      <c r="F790" s="8">
        <v>494.30669999999998</v>
      </c>
    </row>
    <row r="791" spans="1:6" ht="15" customHeight="1" x14ac:dyDescent="0.25">
      <c r="A791" s="8">
        <v>10420</v>
      </c>
      <c r="B791" s="8" t="s">
        <v>1399</v>
      </c>
      <c r="C791" s="8" t="s">
        <v>272</v>
      </c>
      <c r="D791" s="8" t="s">
        <v>257</v>
      </c>
      <c r="E791" s="8" t="s">
        <v>1305</v>
      </c>
      <c r="F791" s="8">
        <v>38750</v>
      </c>
    </row>
    <row r="792" spans="1:6" ht="15" customHeight="1" x14ac:dyDescent="0.25">
      <c r="A792" s="8">
        <v>10308</v>
      </c>
      <c r="B792" s="8" t="s">
        <v>1400</v>
      </c>
      <c r="C792" s="8" t="s">
        <v>756</v>
      </c>
      <c r="D792" s="8" t="s">
        <v>177</v>
      </c>
      <c r="E792" s="8" t="s">
        <v>178</v>
      </c>
      <c r="F792" s="8">
        <v>23383</v>
      </c>
    </row>
    <row r="793" spans="1:6" ht="15" customHeight="1" x14ac:dyDescent="0.25">
      <c r="A793" s="8">
        <v>10649</v>
      </c>
      <c r="B793" s="8" t="s">
        <v>1401</v>
      </c>
      <c r="C793" s="8" t="s">
        <v>200</v>
      </c>
      <c r="D793" s="8" t="s">
        <v>201</v>
      </c>
      <c r="E793" s="8" t="s">
        <v>302</v>
      </c>
      <c r="F793" s="8">
        <v>697.84199999999998</v>
      </c>
    </row>
    <row r="794" spans="1:6" ht="15" customHeight="1" x14ac:dyDescent="0.25">
      <c r="A794" s="8">
        <v>11141</v>
      </c>
      <c r="B794" s="8" t="s">
        <v>1402</v>
      </c>
      <c r="C794" s="8" t="s">
        <v>200</v>
      </c>
      <c r="D794" s="8" t="s">
        <v>201</v>
      </c>
      <c r="E794" s="8" t="s">
        <v>1403</v>
      </c>
      <c r="F794" s="8">
        <v>136.8107</v>
      </c>
    </row>
    <row r="795" spans="1:6" ht="15" customHeight="1" x14ac:dyDescent="0.25">
      <c r="A795" s="8">
        <v>10236</v>
      </c>
      <c r="B795" s="8" t="s">
        <v>1404</v>
      </c>
      <c r="C795" s="8" t="s">
        <v>410</v>
      </c>
      <c r="D795" s="8" t="s">
        <v>337</v>
      </c>
      <c r="E795" s="8" t="s">
        <v>1068</v>
      </c>
      <c r="F795" s="8">
        <v>8678</v>
      </c>
    </row>
    <row r="796" spans="1:6" ht="15" customHeight="1" x14ac:dyDescent="0.25">
      <c r="A796" s="8">
        <v>10854</v>
      </c>
      <c r="B796" s="8" t="s">
        <v>1405</v>
      </c>
      <c r="C796" s="8" t="s">
        <v>233</v>
      </c>
      <c r="D796" s="8" t="s">
        <v>282</v>
      </c>
      <c r="E796" s="8" t="s">
        <v>351</v>
      </c>
      <c r="F796" s="8">
        <v>988.59960000000001</v>
      </c>
    </row>
    <row r="797" spans="1:6" ht="15" customHeight="1" x14ac:dyDescent="0.25">
      <c r="A797" s="8">
        <v>11658</v>
      </c>
      <c r="B797" s="8" t="s">
        <v>1406</v>
      </c>
      <c r="C797" s="8" t="s">
        <v>1078</v>
      </c>
      <c r="D797" s="8" t="s">
        <v>251</v>
      </c>
      <c r="E797" s="8" t="s">
        <v>308</v>
      </c>
      <c r="F797" s="8">
        <v>2405.4207000000001</v>
      </c>
    </row>
    <row r="798" spans="1:6" ht="15" customHeight="1" x14ac:dyDescent="0.25">
      <c r="A798" s="8">
        <v>10032</v>
      </c>
      <c r="B798" s="8" t="s">
        <v>1407</v>
      </c>
      <c r="C798" s="8" t="s">
        <v>187</v>
      </c>
      <c r="D798" s="8" t="s">
        <v>197</v>
      </c>
      <c r="E798" s="8" t="s">
        <v>555</v>
      </c>
      <c r="F798" s="8">
        <v>105.15</v>
      </c>
    </row>
    <row r="799" spans="1:6" ht="15" customHeight="1" x14ac:dyDescent="0.25">
      <c r="A799" s="8">
        <v>10659</v>
      </c>
      <c r="B799" s="8" t="s">
        <v>1408</v>
      </c>
      <c r="C799" s="8" t="s">
        <v>200</v>
      </c>
      <c r="D799" s="8" t="s">
        <v>201</v>
      </c>
      <c r="E799" s="8" t="s">
        <v>216</v>
      </c>
      <c r="F799" s="8">
        <v>148.4905</v>
      </c>
    </row>
    <row r="800" spans="1:6" ht="15" customHeight="1" x14ac:dyDescent="0.25">
      <c r="A800" s="8">
        <v>10720</v>
      </c>
      <c r="B800" s="8" t="s">
        <v>1409</v>
      </c>
      <c r="C800" s="8" t="s">
        <v>243</v>
      </c>
      <c r="D800" s="8" t="s">
        <v>251</v>
      </c>
      <c r="E800" s="8" t="s">
        <v>1410</v>
      </c>
      <c r="F800" s="8">
        <v>60.819899999999997</v>
      </c>
    </row>
    <row r="801" spans="1:6" ht="15" customHeight="1" x14ac:dyDescent="0.25">
      <c r="A801" s="8">
        <v>10782</v>
      </c>
      <c r="B801" s="8" t="s">
        <v>1411</v>
      </c>
      <c r="C801" s="8" t="s">
        <v>1412</v>
      </c>
      <c r="D801" s="8" t="s">
        <v>261</v>
      </c>
      <c r="E801" s="8" t="s">
        <v>324</v>
      </c>
      <c r="F801" s="8">
        <v>37798.431900000003</v>
      </c>
    </row>
    <row r="802" spans="1:6" ht="15" customHeight="1" x14ac:dyDescent="0.25">
      <c r="A802" s="8">
        <v>10773</v>
      </c>
      <c r="B802" s="8" t="s">
        <v>1413</v>
      </c>
      <c r="C802" s="8" t="s">
        <v>1414</v>
      </c>
      <c r="D802" s="8" t="s">
        <v>209</v>
      </c>
      <c r="E802" s="8" t="s">
        <v>210</v>
      </c>
      <c r="F802" s="8">
        <v>180000</v>
      </c>
    </row>
    <row r="803" spans="1:6" ht="15" customHeight="1" x14ac:dyDescent="0.25">
      <c r="A803" s="8">
        <v>10401</v>
      </c>
      <c r="B803" s="8" t="s">
        <v>1415</v>
      </c>
      <c r="C803" s="8" t="s">
        <v>221</v>
      </c>
      <c r="D803" s="8" t="s">
        <v>257</v>
      </c>
      <c r="E803" s="8" t="s">
        <v>258</v>
      </c>
      <c r="F803" s="8">
        <v>1833</v>
      </c>
    </row>
    <row r="804" spans="1:6" ht="15" customHeight="1" x14ac:dyDescent="0.25">
      <c r="A804" s="8">
        <v>10944</v>
      </c>
      <c r="B804" s="8" t="s">
        <v>1416</v>
      </c>
      <c r="C804" s="8" t="s">
        <v>226</v>
      </c>
      <c r="D804" s="8" t="s">
        <v>227</v>
      </c>
      <c r="E804" s="8" t="s">
        <v>228</v>
      </c>
      <c r="F804" s="8">
        <v>45.286499999999997</v>
      </c>
    </row>
    <row r="805" spans="1:6" ht="15" customHeight="1" x14ac:dyDescent="0.25">
      <c r="A805" s="8">
        <v>10175</v>
      </c>
      <c r="B805" s="8" t="s">
        <v>1417</v>
      </c>
      <c r="C805" s="8" t="s">
        <v>1225</v>
      </c>
      <c r="D805" s="8" t="s">
        <v>282</v>
      </c>
      <c r="E805" s="8" t="s">
        <v>1271</v>
      </c>
      <c r="F805" s="8">
        <v>48.021900000000002</v>
      </c>
    </row>
    <row r="806" spans="1:6" ht="15" customHeight="1" x14ac:dyDescent="0.25">
      <c r="A806" s="8">
        <v>10318</v>
      </c>
      <c r="B806" s="8" t="s">
        <v>1418</v>
      </c>
      <c r="C806" s="8" t="s">
        <v>176</v>
      </c>
      <c r="D806" s="8" t="s">
        <v>177</v>
      </c>
      <c r="E806" s="8" t="s">
        <v>300</v>
      </c>
      <c r="F806" s="8">
        <v>8875</v>
      </c>
    </row>
    <row r="807" spans="1:6" ht="15" customHeight="1" x14ac:dyDescent="0.25">
      <c r="A807" s="8">
        <v>10908</v>
      </c>
      <c r="B807" s="8" t="s">
        <v>1419</v>
      </c>
      <c r="C807" s="8" t="s">
        <v>243</v>
      </c>
      <c r="D807" s="8" t="s">
        <v>213</v>
      </c>
      <c r="E807" s="8" t="s">
        <v>1420</v>
      </c>
      <c r="F807" s="8">
        <v>139.9117</v>
      </c>
    </row>
    <row r="808" spans="1:6" ht="15" customHeight="1" x14ac:dyDescent="0.25">
      <c r="A808" s="8">
        <v>10779</v>
      </c>
      <c r="B808" s="8" t="s">
        <v>1421</v>
      </c>
      <c r="C808" s="8" t="s">
        <v>1422</v>
      </c>
      <c r="D808" s="8" t="s">
        <v>209</v>
      </c>
      <c r="E808" s="8" t="s">
        <v>210</v>
      </c>
      <c r="F808" s="8">
        <v>688160</v>
      </c>
    </row>
    <row r="809" spans="1:6" ht="15" customHeight="1" x14ac:dyDescent="0.25">
      <c r="A809" s="8">
        <v>11014</v>
      </c>
      <c r="B809" s="8" t="s">
        <v>1423</v>
      </c>
      <c r="C809" s="8" t="s">
        <v>243</v>
      </c>
      <c r="D809" s="8" t="s">
        <v>244</v>
      </c>
      <c r="E809" s="8" t="s">
        <v>1424</v>
      </c>
      <c r="F809" s="8">
        <v>30.2437</v>
      </c>
    </row>
    <row r="810" spans="1:6" ht="15" customHeight="1" x14ac:dyDescent="0.25">
      <c r="A810" s="8">
        <v>11670</v>
      </c>
      <c r="B810" s="8" t="s">
        <v>1425</v>
      </c>
      <c r="C810" s="8" t="s">
        <v>233</v>
      </c>
      <c r="D810" s="8" t="s">
        <v>266</v>
      </c>
      <c r="E810" s="8" t="s">
        <v>588</v>
      </c>
      <c r="F810" s="8">
        <v>68.455399999999997</v>
      </c>
    </row>
    <row r="811" spans="1:6" ht="15" customHeight="1" x14ac:dyDescent="0.25">
      <c r="A811" s="8">
        <v>10809</v>
      </c>
      <c r="B811" s="8" t="s">
        <v>1426</v>
      </c>
      <c r="C811" s="8" t="s">
        <v>233</v>
      </c>
      <c r="D811" s="8" t="s">
        <v>340</v>
      </c>
      <c r="E811" s="8" t="s">
        <v>486</v>
      </c>
      <c r="F811" s="8">
        <v>75.865099999999998</v>
      </c>
    </row>
    <row r="812" spans="1:6" ht="15" customHeight="1" x14ac:dyDescent="0.25">
      <c r="A812" s="8">
        <v>10026</v>
      </c>
      <c r="B812" s="8" t="s">
        <v>1427</v>
      </c>
      <c r="C812" s="8" t="s">
        <v>196</v>
      </c>
      <c r="D812" s="8" t="s">
        <v>197</v>
      </c>
      <c r="E812" s="8" t="s">
        <v>1428</v>
      </c>
      <c r="F812" s="8">
        <v>25.75</v>
      </c>
    </row>
    <row r="813" spans="1:6" ht="15" customHeight="1" x14ac:dyDescent="0.25">
      <c r="A813" s="8">
        <v>10455</v>
      </c>
      <c r="B813" s="8" t="s">
        <v>1429</v>
      </c>
      <c r="C813" s="8" t="s">
        <v>226</v>
      </c>
      <c r="D813" s="8" t="s">
        <v>227</v>
      </c>
      <c r="E813" s="8" t="s">
        <v>228</v>
      </c>
      <c r="F813" s="8">
        <v>56.9604</v>
      </c>
    </row>
    <row r="814" spans="1:6" ht="15" customHeight="1" x14ac:dyDescent="0.25">
      <c r="A814" s="8">
        <v>10362</v>
      </c>
      <c r="B814" s="8" t="s">
        <v>1430</v>
      </c>
      <c r="C814" s="8" t="s">
        <v>176</v>
      </c>
      <c r="D814" s="8" t="s">
        <v>177</v>
      </c>
      <c r="E814" s="8" t="s">
        <v>300</v>
      </c>
      <c r="F814" s="8">
        <v>6530.8579</v>
      </c>
    </row>
    <row r="815" spans="1:6" ht="15" customHeight="1" x14ac:dyDescent="0.25">
      <c r="A815" s="8">
        <v>10688</v>
      </c>
      <c r="B815" s="8" t="s">
        <v>1431</v>
      </c>
      <c r="C815" s="8" t="s">
        <v>200</v>
      </c>
      <c r="D815" s="8" t="s">
        <v>201</v>
      </c>
      <c r="E815" s="8" t="s">
        <v>377</v>
      </c>
      <c r="F815" s="8">
        <v>128.9933</v>
      </c>
    </row>
    <row r="816" spans="1:6" ht="15" customHeight="1" x14ac:dyDescent="0.25">
      <c r="A816" s="8">
        <v>10573</v>
      </c>
      <c r="B816" s="8" t="s">
        <v>1432</v>
      </c>
      <c r="C816" s="8" t="s">
        <v>355</v>
      </c>
      <c r="D816" s="8" t="s">
        <v>266</v>
      </c>
      <c r="E816" s="8" t="s">
        <v>360</v>
      </c>
      <c r="F816" s="8">
        <v>1947.2717</v>
      </c>
    </row>
    <row r="817" spans="1:6" ht="15" customHeight="1" x14ac:dyDescent="0.25">
      <c r="A817" s="8">
        <v>10126</v>
      </c>
      <c r="B817" s="8" t="s">
        <v>1433</v>
      </c>
      <c r="C817" s="8" t="s">
        <v>184</v>
      </c>
      <c r="D817" s="8" t="s">
        <v>181</v>
      </c>
      <c r="E817" s="8" t="s">
        <v>289</v>
      </c>
      <c r="F817" s="8">
        <v>475.50659999999999</v>
      </c>
    </row>
    <row r="818" spans="1:6" ht="15" customHeight="1" x14ac:dyDescent="0.25">
      <c r="A818" s="8">
        <v>10880</v>
      </c>
      <c r="B818" s="8" t="s">
        <v>1434</v>
      </c>
      <c r="C818" s="8" t="s">
        <v>233</v>
      </c>
      <c r="D818" s="8" t="s">
        <v>266</v>
      </c>
      <c r="E818" s="8" t="s">
        <v>588</v>
      </c>
      <c r="F818" s="8">
        <v>15588.3797</v>
      </c>
    </row>
    <row r="819" spans="1:6" ht="15" customHeight="1" x14ac:dyDescent="0.25">
      <c r="A819" s="8">
        <v>10294</v>
      </c>
      <c r="B819" s="9" t="s">
        <v>1435</v>
      </c>
      <c r="C819" s="8" t="s">
        <v>176</v>
      </c>
      <c r="D819" s="8" t="s">
        <v>177</v>
      </c>
      <c r="E819" s="8" t="s">
        <v>300</v>
      </c>
      <c r="F819" s="8">
        <v>5590</v>
      </c>
    </row>
    <row r="820" spans="1:6" ht="15" customHeight="1" x14ac:dyDescent="0.25">
      <c r="A820" s="8">
        <v>11644</v>
      </c>
      <c r="B820" s="8" t="s">
        <v>1436</v>
      </c>
      <c r="C820" s="8" t="s">
        <v>1437</v>
      </c>
      <c r="D820" s="8" t="s">
        <v>197</v>
      </c>
      <c r="E820" s="8" t="s">
        <v>1364</v>
      </c>
      <c r="F820" s="8">
        <v>53.4604</v>
      </c>
    </row>
    <row r="821" spans="1:6" ht="15" customHeight="1" x14ac:dyDescent="0.25">
      <c r="A821" s="8">
        <v>10042</v>
      </c>
      <c r="B821" s="8" t="s">
        <v>1438</v>
      </c>
      <c r="C821" s="8" t="s">
        <v>176</v>
      </c>
      <c r="D821" s="8" t="s">
        <v>197</v>
      </c>
      <c r="E821" s="8" t="s">
        <v>1073</v>
      </c>
      <c r="F821" s="8">
        <v>4546</v>
      </c>
    </row>
    <row r="822" spans="1:6" ht="15" customHeight="1" x14ac:dyDescent="0.25">
      <c r="A822" s="8">
        <v>11580</v>
      </c>
      <c r="B822" s="8" t="s">
        <v>1439</v>
      </c>
      <c r="C822" s="8" t="s">
        <v>226</v>
      </c>
      <c r="D822" s="8" t="s">
        <v>227</v>
      </c>
      <c r="E822" s="8" t="s">
        <v>405</v>
      </c>
      <c r="F822" s="8">
        <v>27.294799999999999</v>
      </c>
    </row>
    <row r="823" spans="1:6" ht="15" customHeight="1" x14ac:dyDescent="0.25">
      <c r="A823" s="8">
        <v>11892</v>
      </c>
      <c r="B823" s="8" t="s">
        <v>1440</v>
      </c>
      <c r="C823" s="8" t="s">
        <v>200</v>
      </c>
      <c r="D823" s="8" t="s">
        <v>201</v>
      </c>
      <c r="E823" s="8" t="s">
        <v>1441</v>
      </c>
      <c r="F823" s="8">
        <v>3</v>
      </c>
    </row>
    <row r="824" spans="1:6" ht="15" customHeight="1" x14ac:dyDescent="0.25">
      <c r="A824" s="8">
        <v>10377</v>
      </c>
      <c r="B824" s="8" t="s">
        <v>1442</v>
      </c>
      <c r="C824" s="8" t="s">
        <v>1443</v>
      </c>
      <c r="D824" s="8" t="s">
        <v>205</v>
      </c>
      <c r="E824" s="8" t="s">
        <v>219</v>
      </c>
      <c r="F824" s="8">
        <v>11840</v>
      </c>
    </row>
    <row r="825" spans="1:6" ht="15" customHeight="1" x14ac:dyDescent="0.25">
      <c r="A825" s="8">
        <v>10638</v>
      </c>
      <c r="B825" s="8" t="s">
        <v>1444</v>
      </c>
      <c r="C825" s="8" t="s">
        <v>200</v>
      </c>
      <c r="D825" s="8" t="s">
        <v>201</v>
      </c>
      <c r="E825" s="8" t="s">
        <v>216</v>
      </c>
      <c r="F825" s="8">
        <v>208.7893</v>
      </c>
    </row>
    <row r="826" spans="1:6" ht="15" customHeight="1" x14ac:dyDescent="0.25">
      <c r="A826" s="8">
        <v>10092</v>
      </c>
      <c r="B826" s="8" t="s">
        <v>1445</v>
      </c>
      <c r="C826" s="8" t="s">
        <v>1446</v>
      </c>
      <c r="D826" s="8" t="s">
        <v>340</v>
      </c>
      <c r="E826" s="8" t="s">
        <v>341</v>
      </c>
      <c r="F826" s="8">
        <v>754.96</v>
      </c>
    </row>
    <row r="827" spans="1:6" ht="15" customHeight="1" x14ac:dyDescent="0.25">
      <c r="A827" s="8">
        <v>10694</v>
      </c>
      <c r="B827" s="8" t="s">
        <v>1447</v>
      </c>
      <c r="C827" s="8" t="s">
        <v>200</v>
      </c>
      <c r="D827" s="8" t="s">
        <v>201</v>
      </c>
      <c r="E827" s="8" t="s">
        <v>216</v>
      </c>
      <c r="F827" s="8">
        <v>292.08859999999999</v>
      </c>
    </row>
    <row r="828" spans="1:6" ht="15" customHeight="1" x14ac:dyDescent="0.25">
      <c r="A828" s="8">
        <v>10523</v>
      </c>
      <c r="B828" s="8" t="s">
        <v>1448</v>
      </c>
      <c r="C828" s="8" t="s">
        <v>355</v>
      </c>
      <c r="D828" s="8" t="s">
        <v>279</v>
      </c>
      <c r="E828" s="8" t="s">
        <v>379</v>
      </c>
      <c r="F828" s="8">
        <v>30.977900000000002</v>
      </c>
    </row>
    <row r="829" spans="1:6" ht="15" customHeight="1" x14ac:dyDescent="0.25">
      <c r="A829" s="8">
        <v>11159</v>
      </c>
      <c r="B829" s="8" t="s">
        <v>1449</v>
      </c>
      <c r="C829" s="8" t="s">
        <v>200</v>
      </c>
      <c r="D829" s="8" t="s">
        <v>201</v>
      </c>
      <c r="E829" s="8" t="s">
        <v>532</v>
      </c>
      <c r="F829" s="8">
        <v>90</v>
      </c>
    </row>
    <row r="830" spans="1:6" ht="15" customHeight="1" x14ac:dyDescent="0.25">
      <c r="A830" s="8">
        <v>10019</v>
      </c>
      <c r="B830" s="8" t="s">
        <v>1450</v>
      </c>
      <c r="C830" s="8" t="s">
        <v>1451</v>
      </c>
      <c r="D830" s="8" t="s">
        <v>261</v>
      </c>
      <c r="E830" s="8" t="s">
        <v>324</v>
      </c>
      <c r="F830" s="8">
        <v>24901.0105</v>
      </c>
    </row>
    <row r="831" spans="1:6" ht="15" customHeight="1" x14ac:dyDescent="0.25">
      <c r="A831" s="8">
        <v>11698</v>
      </c>
      <c r="B831" s="8" t="s">
        <v>1452</v>
      </c>
      <c r="C831" s="8" t="s">
        <v>278</v>
      </c>
      <c r="D831" s="8" t="s">
        <v>279</v>
      </c>
      <c r="E831" s="8" t="s">
        <v>1453</v>
      </c>
      <c r="F831" s="8">
        <v>11.7186</v>
      </c>
    </row>
    <row r="832" spans="1:6" ht="15" customHeight="1" x14ac:dyDescent="0.25">
      <c r="A832" s="8">
        <v>10552</v>
      </c>
      <c r="B832" s="8" t="s">
        <v>1454</v>
      </c>
      <c r="C832" s="8" t="s">
        <v>233</v>
      </c>
      <c r="D832" s="8" t="s">
        <v>266</v>
      </c>
      <c r="E832" s="8" t="s">
        <v>887</v>
      </c>
      <c r="F832" s="8">
        <v>120.3484</v>
      </c>
    </row>
    <row r="833" spans="1:6" ht="15" customHeight="1" x14ac:dyDescent="0.25">
      <c r="A833" s="8">
        <v>10657</v>
      </c>
      <c r="B833" s="8" t="s">
        <v>1455</v>
      </c>
      <c r="C833" s="8" t="s">
        <v>180</v>
      </c>
      <c r="D833" s="8" t="s">
        <v>201</v>
      </c>
      <c r="E833" s="8" t="s">
        <v>1456</v>
      </c>
      <c r="F833" s="8">
        <v>397.31779999999998</v>
      </c>
    </row>
    <row r="834" spans="1:6" ht="15" customHeight="1" x14ac:dyDescent="0.25">
      <c r="A834" s="8">
        <v>10669</v>
      </c>
      <c r="B834" s="8" t="s">
        <v>1457</v>
      </c>
      <c r="C834" s="8" t="s">
        <v>200</v>
      </c>
      <c r="D834" s="8" t="s">
        <v>201</v>
      </c>
      <c r="E834" s="8" t="s">
        <v>599</v>
      </c>
      <c r="F834" s="8">
        <v>94.766300000000001</v>
      </c>
    </row>
    <row r="835" spans="1:6" ht="15" customHeight="1" x14ac:dyDescent="0.25">
      <c r="A835" s="8">
        <v>10609</v>
      </c>
      <c r="B835" s="8" t="s">
        <v>1458</v>
      </c>
      <c r="C835" s="8" t="s">
        <v>575</v>
      </c>
      <c r="D835" s="8" t="s">
        <v>266</v>
      </c>
      <c r="E835" s="8" t="s">
        <v>692</v>
      </c>
      <c r="F835" s="8">
        <v>85.089699999999993</v>
      </c>
    </row>
    <row r="836" spans="1:6" ht="15" customHeight="1" x14ac:dyDescent="0.25">
      <c r="A836" s="8">
        <v>10106</v>
      </c>
      <c r="B836" s="8" t="s">
        <v>1459</v>
      </c>
      <c r="C836" s="8" t="s">
        <v>243</v>
      </c>
      <c r="D836" s="8" t="s">
        <v>782</v>
      </c>
      <c r="E836" s="8" t="s">
        <v>783</v>
      </c>
      <c r="F836" s="8">
        <v>117.87260000000001</v>
      </c>
    </row>
    <row r="837" spans="1:6" ht="15" customHeight="1" x14ac:dyDescent="0.25">
      <c r="A837" s="8">
        <v>10068</v>
      </c>
      <c r="B837" s="8" t="s">
        <v>1460</v>
      </c>
      <c r="C837" s="8" t="s">
        <v>187</v>
      </c>
      <c r="D837" s="8" t="s">
        <v>197</v>
      </c>
      <c r="E837" s="8" t="s">
        <v>772</v>
      </c>
      <c r="F837" s="8">
        <v>1830.6311000000001</v>
      </c>
    </row>
    <row r="838" spans="1:6" ht="15" customHeight="1" x14ac:dyDescent="0.25">
      <c r="A838" s="8">
        <v>10159</v>
      </c>
      <c r="B838" s="8" t="s">
        <v>1461</v>
      </c>
      <c r="C838" s="8" t="s">
        <v>293</v>
      </c>
      <c r="D838" s="8" t="s">
        <v>294</v>
      </c>
      <c r="E838" s="8" t="s">
        <v>295</v>
      </c>
      <c r="F838" s="8">
        <v>1978</v>
      </c>
    </row>
    <row r="839" spans="1:6" ht="15" customHeight="1" x14ac:dyDescent="0.25">
      <c r="A839" s="8">
        <v>10054</v>
      </c>
      <c r="B839" s="8" t="s">
        <v>1462</v>
      </c>
      <c r="C839" s="8" t="s">
        <v>176</v>
      </c>
      <c r="D839" s="8" t="s">
        <v>197</v>
      </c>
      <c r="E839" s="8" t="s">
        <v>269</v>
      </c>
      <c r="F839" s="8">
        <v>22100</v>
      </c>
    </row>
    <row r="840" spans="1:6" ht="15" customHeight="1" x14ac:dyDescent="0.25">
      <c r="A840" s="8">
        <v>10739</v>
      </c>
      <c r="B840" s="8" t="s">
        <v>1463</v>
      </c>
      <c r="C840" s="8" t="s">
        <v>243</v>
      </c>
      <c r="D840" s="8" t="s">
        <v>251</v>
      </c>
      <c r="E840" s="8" t="s">
        <v>449</v>
      </c>
      <c r="F840" s="8">
        <v>20.429300000000001</v>
      </c>
    </row>
    <row r="841" spans="1:6" ht="15" customHeight="1" x14ac:dyDescent="0.25">
      <c r="A841" s="8">
        <v>10064</v>
      </c>
      <c r="B841" s="8" t="s">
        <v>1464</v>
      </c>
      <c r="C841" s="8" t="s">
        <v>187</v>
      </c>
      <c r="D841" s="8" t="s">
        <v>197</v>
      </c>
      <c r="E841" s="8" t="s">
        <v>298</v>
      </c>
      <c r="F841" s="8">
        <v>114.19580000000001</v>
      </c>
    </row>
    <row r="842" spans="1:6" ht="15" customHeight="1" x14ac:dyDescent="0.25">
      <c r="A842" s="8">
        <v>10656</v>
      </c>
      <c r="B842" s="8" t="s">
        <v>1465</v>
      </c>
      <c r="C842" s="8" t="s">
        <v>200</v>
      </c>
      <c r="D842" s="8" t="s">
        <v>201</v>
      </c>
      <c r="E842" s="8" t="s">
        <v>713</v>
      </c>
      <c r="F842" s="8">
        <v>375.18360000000001</v>
      </c>
    </row>
    <row r="843" spans="1:6" ht="15" customHeight="1" x14ac:dyDescent="0.25">
      <c r="A843" s="8">
        <v>10438</v>
      </c>
      <c r="B843" s="8" t="s">
        <v>1466</v>
      </c>
      <c r="C843" s="8" t="s">
        <v>180</v>
      </c>
      <c r="D843" s="8" t="s">
        <v>213</v>
      </c>
      <c r="E843" s="8" t="s">
        <v>1467</v>
      </c>
      <c r="F843" s="8">
        <v>2029.7073</v>
      </c>
    </row>
    <row r="844" spans="1:6" ht="15" customHeight="1" x14ac:dyDescent="0.25">
      <c r="A844" s="8">
        <v>10737</v>
      </c>
      <c r="B844" s="8" t="s">
        <v>1468</v>
      </c>
      <c r="C844" s="8" t="s">
        <v>176</v>
      </c>
      <c r="D844" s="8" t="s">
        <v>251</v>
      </c>
      <c r="E844" s="8" t="s">
        <v>1469</v>
      </c>
      <c r="F844" s="8">
        <v>78.703199999999995</v>
      </c>
    </row>
    <row r="845" spans="1:6" ht="15" customHeight="1" x14ac:dyDescent="0.25">
      <c r="A845" s="8">
        <v>10217</v>
      </c>
      <c r="B845" s="8" t="s">
        <v>1470</v>
      </c>
      <c r="C845" s="8" t="s">
        <v>180</v>
      </c>
      <c r="D845" s="8" t="s">
        <v>282</v>
      </c>
      <c r="E845" s="8" t="s">
        <v>428</v>
      </c>
      <c r="F845" s="8">
        <v>3824.2692000000002</v>
      </c>
    </row>
    <row r="846" spans="1:6" ht="15" customHeight="1" x14ac:dyDescent="0.25">
      <c r="A846" s="8">
        <v>10875</v>
      </c>
      <c r="B846" s="8" t="s">
        <v>1471</v>
      </c>
      <c r="C846" s="8" t="s">
        <v>312</v>
      </c>
      <c r="D846" s="8" t="s">
        <v>282</v>
      </c>
      <c r="E846" s="8" t="s">
        <v>1065</v>
      </c>
      <c r="F846" s="8">
        <v>38.682600000000001</v>
      </c>
    </row>
    <row r="847" spans="1:6" ht="15" customHeight="1" x14ac:dyDescent="0.25">
      <c r="A847" s="8">
        <v>10537</v>
      </c>
      <c r="B847" s="8" t="s">
        <v>1472</v>
      </c>
      <c r="C847" s="8" t="s">
        <v>647</v>
      </c>
      <c r="D847" s="8" t="s">
        <v>648</v>
      </c>
      <c r="E847" s="8" t="s">
        <v>1473</v>
      </c>
      <c r="F847" s="8">
        <v>152.12739999999999</v>
      </c>
    </row>
    <row r="848" spans="1:6" ht="15" customHeight="1" x14ac:dyDescent="0.25">
      <c r="A848" s="8">
        <v>10069</v>
      </c>
      <c r="B848" s="8" t="s">
        <v>1474</v>
      </c>
      <c r="C848" s="8" t="s">
        <v>187</v>
      </c>
      <c r="D848" s="8" t="s">
        <v>197</v>
      </c>
      <c r="E848" s="8" t="s">
        <v>590</v>
      </c>
      <c r="F848" s="8">
        <v>17835</v>
      </c>
    </row>
    <row r="849" spans="1:6" ht="15" customHeight="1" x14ac:dyDescent="0.25">
      <c r="A849" s="8">
        <v>10619</v>
      </c>
      <c r="B849" s="8" t="s">
        <v>1475</v>
      </c>
      <c r="C849" s="8" t="s">
        <v>243</v>
      </c>
      <c r="D849" s="8" t="s">
        <v>244</v>
      </c>
      <c r="E849" s="8" t="s">
        <v>800</v>
      </c>
      <c r="F849" s="8">
        <v>2590.5848000000001</v>
      </c>
    </row>
    <row r="850" spans="1:6" ht="15" customHeight="1" x14ac:dyDescent="0.25">
      <c r="A850" s="8">
        <v>10191</v>
      </c>
      <c r="B850" s="8" t="s">
        <v>1476</v>
      </c>
      <c r="C850" s="8" t="s">
        <v>1127</v>
      </c>
      <c r="D850" s="8" t="s">
        <v>282</v>
      </c>
      <c r="E850" s="8" t="s">
        <v>1329</v>
      </c>
      <c r="F850" s="8">
        <v>369.13600000000002</v>
      </c>
    </row>
    <row r="851" spans="1:6" ht="15" customHeight="1" x14ac:dyDescent="0.25">
      <c r="A851" s="8">
        <v>10045</v>
      </c>
      <c r="B851" s="8" t="s">
        <v>1477</v>
      </c>
      <c r="C851" s="8" t="s">
        <v>1478</v>
      </c>
      <c r="D851" s="8" t="s">
        <v>197</v>
      </c>
      <c r="E851" s="8" t="s">
        <v>557</v>
      </c>
      <c r="F851" s="8">
        <v>311.36970000000002</v>
      </c>
    </row>
    <row r="852" spans="1:6" ht="15" customHeight="1" x14ac:dyDescent="0.25">
      <c r="A852" s="8">
        <v>10614</v>
      </c>
      <c r="B852" s="8" t="s">
        <v>1479</v>
      </c>
      <c r="C852" s="8" t="s">
        <v>355</v>
      </c>
      <c r="D852" s="8" t="s">
        <v>266</v>
      </c>
      <c r="E852" s="8" t="s">
        <v>400</v>
      </c>
      <c r="F852" s="8">
        <v>239.55340000000001</v>
      </c>
    </row>
    <row r="853" spans="1:6" ht="15" customHeight="1" x14ac:dyDescent="0.25">
      <c r="A853" s="8">
        <v>10704</v>
      </c>
      <c r="B853" s="8" t="s">
        <v>1480</v>
      </c>
      <c r="C853" s="8" t="s">
        <v>200</v>
      </c>
      <c r="D853" s="8" t="s">
        <v>201</v>
      </c>
      <c r="E853" s="8" t="s">
        <v>216</v>
      </c>
      <c r="F853" s="8">
        <v>101.6835</v>
      </c>
    </row>
    <row r="854" spans="1:6" ht="15" customHeight="1" x14ac:dyDescent="0.25">
      <c r="A854" s="8">
        <v>10500</v>
      </c>
      <c r="B854" s="8" t="s">
        <v>1481</v>
      </c>
      <c r="C854" s="8" t="s">
        <v>355</v>
      </c>
      <c r="D854" s="8" t="s">
        <v>279</v>
      </c>
      <c r="E854" s="8" t="s">
        <v>356</v>
      </c>
      <c r="F854" s="8">
        <v>8825</v>
      </c>
    </row>
    <row r="855" spans="1:6" ht="15" customHeight="1" x14ac:dyDescent="0.25">
      <c r="A855" s="8">
        <v>10355</v>
      </c>
      <c r="B855" s="8" t="s">
        <v>1482</v>
      </c>
      <c r="C855" s="8" t="s">
        <v>176</v>
      </c>
      <c r="D855" s="8" t="s">
        <v>177</v>
      </c>
      <c r="E855" s="8" t="s">
        <v>273</v>
      </c>
      <c r="F855" s="8">
        <v>4482.9070000000002</v>
      </c>
    </row>
    <row r="856" spans="1:6" ht="15" customHeight="1" x14ac:dyDescent="0.25">
      <c r="A856" s="8">
        <v>10423</v>
      </c>
      <c r="B856" s="8" t="s">
        <v>1483</v>
      </c>
      <c r="C856" s="8" t="s">
        <v>180</v>
      </c>
      <c r="D856" s="8" t="s">
        <v>213</v>
      </c>
      <c r="E856" s="8" t="s">
        <v>214</v>
      </c>
      <c r="F856" s="8">
        <v>5071.0312999999996</v>
      </c>
    </row>
    <row r="857" spans="1:6" ht="15" customHeight="1" x14ac:dyDescent="0.25">
      <c r="A857" s="8">
        <v>10164</v>
      </c>
      <c r="B857" s="8" t="s">
        <v>1484</v>
      </c>
      <c r="C857" s="8" t="s">
        <v>180</v>
      </c>
      <c r="D857" s="8" t="s">
        <v>282</v>
      </c>
      <c r="E857" s="8" t="s">
        <v>715</v>
      </c>
      <c r="F857" s="8">
        <v>958.33630000000005</v>
      </c>
    </row>
    <row r="858" spans="1:6" ht="15" customHeight="1" x14ac:dyDescent="0.25">
      <c r="A858" s="8">
        <v>10349</v>
      </c>
      <c r="B858" s="8" t="s">
        <v>1485</v>
      </c>
      <c r="C858" s="8" t="s">
        <v>972</v>
      </c>
      <c r="D858" s="8" t="s">
        <v>177</v>
      </c>
      <c r="E858" s="8" t="s">
        <v>710</v>
      </c>
      <c r="F858" s="8">
        <v>980</v>
      </c>
    </row>
    <row r="859" spans="1:6" ht="15" customHeight="1" x14ac:dyDescent="0.25">
      <c r="A859" s="8">
        <v>11759</v>
      </c>
      <c r="B859" s="8" t="s">
        <v>1486</v>
      </c>
      <c r="C859" s="8" t="s">
        <v>1487</v>
      </c>
      <c r="D859" s="8" t="s">
        <v>181</v>
      </c>
      <c r="E859" s="8" t="s">
        <v>185</v>
      </c>
      <c r="F859" s="8">
        <v>4915.0815000000002</v>
      </c>
    </row>
    <row r="860" spans="1:6" ht="15" customHeight="1" x14ac:dyDescent="0.25">
      <c r="A860" s="8">
        <v>10767</v>
      </c>
      <c r="B860" s="8" t="s">
        <v>1488</v>
      </c>
      <c r="C860" s="8" t="s">
        <v>1489</v>
      </c>
      <c r="D860" s="8" t="s">
        <v>209</v>
      </c>
      <c r="E860" s="8" t="s">
        <v>222</v>
      </c>
      <c r="F860" s="8">
        <v>19801.964199999999</v>
      </c>
    </row>
    <row r="861" spans="1:6" ht="15" customHeight="1" x14ac:dyDescent="0.25">
      <c r="A861" s="8">
        <v>10830</v>
      </c>
      <c r="B861" s="8" t="s">
        <v>1490</v>
      </c>
      <c r="C861" s="8" t="s">
        <v>1491</v>
      </c>
      <c r="D861" s="8" t="s">
        <v>181</v>
      </c>
      <c r="E861" s="8" t="s">
        <v>475</v>
      </c>
      <c r="F861" s="8">
        <v>106.0247</v>
      </c>
    </row>
    <row r="862" spans="1:6" ht="15" customHeight="1" x14ac:dyDescent="0.25">
      <c r="A862" s="8">
        <v>10147</v>
      </c>
      <c r="B862" s="8" t="s">
        <v>1492</v>
      </c>
      <c r="C862" s="8" t="s">
        <v>233</v>
      </c>
      <c r="D862" s="8" t="s">
        <v>181</v>
      </c>
      <c r="E862" s="8" t="s">
        <v>237</v>
      </c>
      <c r="F862" s="8">
        <v>719.66809999999998</v>
      </c>
    </row>
    <row r="863" spans="1:6" ht="15" customHeight="1" x14ac:dyDescent="0.25">
      <c r="A863" s="8">
        <v>10307</v>
      </c>
      <c r="B863" s="8" t="s">
        <v>1493</v>
      </c>
      <c r="C863" s="8" t="s">
        <v>187</v>
      </c>
      <c r="D863" s="8" t="s">
        <v>177</v>
      </c>
      <c r="E863" s="8" t="s">
        <v>710</v>
      </c>
      <c r="F863" s="8">
        <v>605.00689999999997</v>
      </c>
    </row>
    <row r="864" spans="1:6" ht="15" customHeight="1" x14ac:dyDescent="0.25">
      <c r="A864" s="8">
        <v>10575</v>
      </c>
      <c r="B864" s="8" t="s">
        <v>1494</v>
      </c>
      <c r="C864" s="8" t="s">
        <v>180</v>
      </c>
      <c r="D864" s="8" t="s">
        <v>266</v>
      </c>
      <c r="E864" s="8" t="s">
        <v>887</v>
      </c>
      <c r="F864" s="8">
        <v>3279.6758</v>
      </c>
    </row>
    <row r="865" spans="1:6" ht="15" customHeight="1" x14ac:dyDescent="0.25">
      <c r="A865" s="8">
        <v>10443</v>
      </c>
      <c r="B865" s="8" t="s">
        <v>1495</v>
      </c>
      <c r="C865" s="8" t="s">
        <v>226</v>
      </c>
      <c r="D865" s="8" t="s">
        <v>227</v>
      </c>
      <c r="E865" s="8" t="s">
        <v>405</v>
      </c>
      <c r="F865" s="8">
        <v>505.85</v>
      </c>
    </row>
    <row r="866" spans="1:6" ht="15" customHeight="1" x14ac:dyDescent="0.25">
      <c r="A866" s="8">
        <v>10187</v>
      </c>
      <c r="B866" s="8" t="s">
        <v>1496</v>
      </c>
      <c r="C866" s="8" t="s">
        <v>312</v>
      </c>
      <c r="D866" s="8" t="s">
        <v>282</v>
      </c>
      <c r="E866" s="8" t="s">
        <v>1497</v>
      </c>
      <c r="F866" s="8">
        <v>270.26229999999998</v>
      </c>
    </row>
    <row r="867" spans="1:6" ht="15" customHeight="1" x14ac:dyDescent="0.25">
      <c r="A867" s="8">
        <v>10218</v>
      </c>
      <c r="B867" s="8" t="s">
        <v>1498</v>
      </c>
      <c r="C867" s="8" t="s">
        <v>180</v>
      </c>
      <c r="D867" s="8" t="s">
        <v>1226</v>
      </c>
      <c r="E867" s="8" t="s">
        <v>1499</v>
      </c>
      <c r="F867" s="8">
        <v>655.17499999999995</v>
      </c>
    </row>
    <row r="868" spans="1:6" ht="15" customHeight="1" x14ac:dyDescent="0.25">
      <c r="A868" s="8">
        <v>10080</v>
      </c>
      <c r="B868" s="8" t="s">
        <v>1500</v>
      </c>
      <c r="C868" s="8" t="s">
        <v>221</v>
      </c>
      <c r="D868" s="8" t="s">
        <v>340</v>
      </c>
      <c r="E868" s="8" t="s">
        <v>723</v>
      </c>
      <c r="F868" s="8">
        <v>1633.9908</v>
      </c>
    </row>
    <row r="869" spans="1:6" ht="15" customHeight="1" x14ac:dyDescent="0.25">
      <c r="A869" s="8">
        <v>10868</v>
      </c>
      <c r="B869" s="8" t="s">
        <v>1501</v>
      </c>
      <c r="C869" s="8" t="s">
        <v>212</v>
      </c>
      <c r="D869" s="8" t="s">
        <v>282</v>
      </c>
      <c r="E869" s="8" t="s">
        <v>850</v>
      </c>
      <c r="F869" s="8">
        <v>259.52510000000001</v>
      </c>
    </row>
    <row r="870" spans="1:6" ht="15" customHeight="1" x14ac:dyDescent="0.25">
      <c r="A870" s="8">
        <v>10264</v>
      </c>
      <c r="B870" s="8" t="s">
        <v>1502</v>
      </c>
      <c r="C870" s="8" t="s">
        <v>176</v>
      </c>
      <c r="D870" s="8" t="s">
        <v>177</v>
      </c>
      <c r="E870" s="8" t="s">
        <v>273</v>
      </c>
      <c r="F870" s="8">
        <v>3016.1260000000002</v>
      </c>
    </row>
    <row r="871" spans="1:6" ht="15" customHeight="1" x14ac:dyDescent="0.25">
      <c r="A871" s="8">
        <v>11962</v>
      </c>
      <c r="B871" s="8" t="s">
        <v>1503</v>
      </c>
      <c r="C871" s="8" t="s">
        <v>243</v>
      </c>
      <c r="D871" s="8" t="s">
        <v>244</v>
      </c>
      <c r="E871" s="8" t="s">
        <v>1504</v>
      </c>
      <c r="F871" s="8">
        <v>21.25</v>
      </c>
    </row>
    <row r="872" spans="1:6" ht="15" customHeight="1" x14ac:dyDescent="0.25">
      <c r="A872" s="8">
        <v>10519</v>
      </c>
      <c r="B872" s="8" t="s">
        <v>1505</v>
      </c>
      <c r="C872" s="8" t="s">
        <v>355</v>
      </c>
      <c r="D872" s="8" t="s">
        <v>279</v>
      </c>
      <c r="E872" s="8" t="s">
        <v>356</v>
      </c>
      <c r="F872" s="8">
        <v>37145</v>
      </c>
    </row>
    <row r="873" spans="1:6" ht="15" customHeight="1" x14ac:dyDescent="0.25">
      <c r="A873" s="8">
        <v>10724</v>
      </c>
      <c r="B873" s="8" t="s">
        <v>1506</v>
      </c>
      <c r="C873" s="8" t="s">
        <v>272</v>
      </c>
      <c r="D873" s="8" t="s">
        <v>251</v>
      </c>
      <c r="E873" s="8" t="s">
        <v>308</v>
      </c>
      <c r="F873" s="8">
        <v>236</v>
      </c>
    </row>
    <row r="874" spans="1:6" ht="15" customHeight="1" x14ac:dyDescent="0.25">
      <c r="A874" s="8">
        <v>10842</v>
      </c>
      <c r="B874" s="8" t="s">
        <v>1507</v>
      </c>
      <c r="C874" s="8" t="s">
        <v>882</v>
      </c>
      <c r="D874" s="8" t="s">
        <v>181</v>
      </c>
      <c r="E874" s="8" t="s">
        <v>351</v>
      </c>
      <c r="F874" s="8">
        <v>406.64609999999999</v>
      </c>
    </row>
    <row r="875" spans="1:6" ht="15" customHeight="1" x14ac:dyDescent="0.25">
      <c r="A875" s="8">
        <v>10515</v>
      </c>
      <c r="B875" s="8" t="s">
        <v>1508</v>
      </c>
      <c r="C875" s="8" t="s">
        <v>627</v>
      </c>
      <c r="D875" s="8" t="s">
        <v>279</v>
      </c>
      <c r="E875" s="8" t="s">
        <v>963</v>
      </c>
      <c r="F875" s="8">
        <v>141.56309999999999</v>
      </c>
    </row>
    <row r="876" spans="1:6" ht="15" customHeight="1" x14ac:dyDescent="0.25">
      <c r="A876" s="8">
        <v>11211</v>
      </c>
      <c r="B876" s="8" t="s">
        <v>1509</v>
      </c>
      <c r="C876" s="8" t="s">
        <v>516</v>
      </c>
      <c r="D876" s="8" t="s">
        <v>209</v>
      </c>
      <c r="E876" s="8" t="s">
        <v>222</v>
      </c>
      <c r="F876" s="8">
        <v>1340.971</v>
      </c>
    </row>
    <row r="877" spans="1:6" ht="15" customHeight="1" x14ac:dyDescent="0.25">
      <c r="A877" s="8">
        <v>10818</v>
      </c>
      <c r="B877" s="8" t="s">
        <v>1510</v>
      </c>
      <c r="C877" s="8" t="s">
        <v>1511</v>
      </c>
      <c r="D877" s="8" t="s">
        <v>193</v>
      </c>
      <c r="E877" s="8" t="s">
        <v>977</v>
      </c>
      <c r="F877" s="8">
        <v>64.602000000000004</v>
      </c>
    </row>
    <row r="878" spans="1:6" ht="15" customHeight="1" x14ac:dyDescent="0.25">
      <c r="A878" s="8">
        <v>10310</v>
      </c>
      <c r="B878" s="8" t="s">
        <v>1512</v>
      </c>
      <c r="C878" s="8" t="s">
        <v>176</v>
      </c>
      <c r="D878" s="8" t="s">
        <v>177</v>
      </c>
      <c r="E878" s="8" t="s">
        <v>1513</v>
      </c>
      <c r="F878" s="8">
        <v>22365</v>
      </c>
    </row>
    <row r="879" spans="1:6" ht="15" customHeight="1" x14ac:dyDescent="0.25">
      <c r="A879" s="8">
        <v>11092</v>
      </c>
      <c r="B879" s="8" t="s">
        <v>1514</v>
      </c>
      <c r="C879" s="8" t="s">
        <v>1515</v>
      </c>
      <c r="D879" s="8" t="s">
        <v>266</v>
      </c>
      <c r="E879" s="8" t="s">
        <v>267</v>
      </c>
      <c r="F879" s="8">
        <v>5447.6603999999998</v>
      </c>
    </row>
    <row r="880" spans="1:6" ht="15" customHeight="1" x14ac:dyDescent="0.25">
      <c r="A880" s="8">
        <v>10051</v>
      </c>
      <c r="B880" s="8" t="s">
        <v>1516</v>
      </c>
      <c r="C880" s="8" t="s">
        <v>187</v>
      </c>
      <c r="D880" s="8" t="s">
        <v>197</v>
      </c>
      <c r="E880" s="8" t="s">
        <v>590</v>
      </c>
      <c r="F880" s="8">
        <v>30788</v>
      </c>
    </row>
    <row r="881" spans="1:6" ht="15" customHeight="1" x14ac:dyDescent="0.25">
      <c r="A881" s="8">
        <v>11003</v>
      </c>
      <c r="B881" s="8" t="s">
        <v>1517</v>
      </c>
      <c r="C881" s="8" t="s">
        <v>1236</v>
      </c>
      <c r="D881" s="8" t="s">
        <v>279</v>
      </c>
      <c r="E881" s="8" t="s">
        <v>966</v>
      </c>
      <c r="F881" s="8">
        <v>16.805700000000002</v>
      </c>
    </row>
    <row r="882" spans="1:6" ht="15" customHeight="1" x14ac:dyDescent="0.25">
      <c r="A882" s="8">
        <v>10017</v>
      </c>
      <c r="B882" s="8" t="s">
        <v>1518</v>
      </c>
      <c r="C882" s="8" t="s">
        <v>1104</v>
      </c>
      <c r="D882" s="8" t="s">
        <v>261</v>
      </c>
      <c r="E882" s="8" t="s">
        <v>324</v>
      </c>
      <c r="F882" s="8">
        <v>548.6463</v>
      </c>
    </row>
    <row r="883" spans="1:6" ht="15" customHeight="1" x14ac:dyDescent="0.25">
      <c r="A883" s="8">
        <v>10332</v>
      </c>
      <c r="B883" s="8" t="s">
        <v>1519</v>
      </c>
      <c r="C883" s="8" t="s">
        <v>176</v>
      </c>
      <c r="D883" s="8" t="s">
        <v>177</v>
      </c>
      <c r="E883" s="8" t="s">
        <v>273</v>
      </c>
      <c r="F883" s="8">
        <v>55214.944900000002</v>
      </c>
    </row>
    <row r="884" spans="1:6" ht="15" customHeight="1" x14ac:dyDescent="0.25">
      <c r="A884" s="8">
        <v>10397</v>
      </c>
      <c r="B884" s="8" t="s">
        <v>1520</v>
      </c>
      <c r="C884" s="8" t="s">
        <v>504</v>
      </c>
      <c r="D884" s="8" t="s">
        <v>257</v>
      </c>
      <c r="E884" s="8" t="s">
        <v>258</v>
      </c>
      <c r="F884" s="8">
        <v>24940</v>
      </c>
    </row>
    <row r="885" spans="1:6" ht="15" customHeight="1" x14ac:dyDescent="0.25">
      <c r="A885" s="8">
        <v>10409</v>
      </c>
      <c r="B885" s="8" t="s">
        <v>1521</v>
      </c>
      <c r="C885" s="8" t="s">
        <v>1522</v>
      </c>
      <c r="D885" s="8" t="s">
        <v>257</v>
      </c>
      <c r="E885" s="8" t="s">
        <v>1033</v>
      </c>
      <c r="F885" s="8">
        <v>702.00279999999998</v>
      </c>
    </row>
    <row r="886" spans="1:6" ht="15" customHeight="1" x14ac:dyDescent="0.25">
      <c r="A886" s="8">
        <v>10033</v>
      </c>
      <c r="B886" s="8" t="s">
        <v>1523</v>
      </c>
      <c r="C886" s="8" t="s">
        <v>187</v>
      </c>
      <c r="D886" s="8" t="s">
        <v>197</v>
      </c>
      <c r="E886" s="8" t="s">
        <v>1524</v>
      </c>
      <c r="F886" s="8">
        <v>1301.6958</v>
      </c>
    </row>
    <row r="887" spans="1:6" ht="15" customHeight="1" x14ac:dyDescent="0.25">
      <c r="A887" s="8">
        <v>10530</v>
      </c>
      <c r="B887" s="8" t="s">
        <v>1525</v>
      </c>
      <c r="C887" s="8" t="s">
        <v>355</v>
      </c>
      <c r="D887" s="8" t="s">
        <v>279</v>
      </c>
      <c r="E887" s="8" t="s">
        <v>379</v>
      </c>
      <c r="F887" s="8">
        <v>1066.2660000000001</v>
      </c>
    </row>
    <row r="888" spans="1:6" ht="15" customHeight="1" x14ac:dyDescent="0.25">
      <c r="A888" s="8">
        <v>10490</v>
      </c>
      <c r="B888" s="8" t="s">
        <v>1526</v>
      </c>
      <c r="C888" s="8" t="s">
        <v>355</v>
      </c>
      <c r="D888" s="8" t="s">
        <v>279</v>
      </c>
      <c r="E888" s="8" t="s">
        <v>534</v>
      </c>
      <c r="F888" s="8">
        <v>384.04939999999999</v>
      </c>
    </row>
    <row r="889" spans="1:6" ht="15" customHeight="1" x14ac:dyDescent="0.25">
      <c r="A889" s="8">
        <v>10518</v>
      </c>
      <c r="B889" s="8" t="s">
        <v>1527</v>
      </c>
      <c r="C889" s="8" t="s">
        <v>212</v>
      </c>
      <c r="D889" s="8" t="s">
        <v>279</v>
      </c>
      <c r="E889" s="8" t="s">
        <v>280</v>
      </c>
      <c r="F889" s="8">
        <v>3700.0061999999998</v>
      </c>
    </row>
    <row r="890" spans="1:6" ht="15" customHeight="1" x14ac:dyDescent="0.25">
      <c r="A890" s="8">
        <v>10503</v>
      </c>
      <c r="B890" s="8" t="s">
        <v>1528</v>
      </c>
      <c r="C890" s="8" t="s">
        <v>355</v>
      </c>
      <c r="D890" s="8" t="s">
        <v>279</v>
      </c>
      <c r="E890" s="8" t="s">
        <v>356</v>
      </c>
      <c r="F890" s="8">
        <v>6120</v>
      </c>
    </row>
    <row r="891" spans="1:6" ht="15" customHeight="1" x14ac:dyDescent="0.25">
      <c r="A891" s="8">
        <v>10976</v>
      </c>
      <c r="B891" s="8" t="s">
        <v>1529</v>
      </c>
      <c r="C891" s="8" t="s">
        <v>243</v>
      </c>
      <c r="D891" s="8" t="s">
        <v>320</v>
      </c>
      <c r="E891" s="8" t="s">
        <v>1530</v>
      </c>
      <c r="F891" s="8">
        <v>144.4906</v>
      </c>
    </row>
    <row r="892" spans="1:6" ht="15" customHeight="1" x14ac:dyDescent="0.25">
      <c r="A892" s="8">
        <v>10629</v>
      </c>
      <c r="B892" s="8" t="s">
        <v>1531</v>
      </c>
      <c r="C892" s="8" t="s">
        <v>200</v>
      </c>
      <c r="D892" s="8" t="s">
        <v>201</v>
      </c>
      <c r="E892" s="8" t="s">
        <v>377</v>
      </c>
      <c r="F892" s="8">
        <v>173.99629999999999</v>
      </c>
    </row>
    <row r="893" spans="1:6" ht="15" customHeight="1" x14ac:dyDescent="0.25">
      <c r="A893" s="8">
        <v>10757</v>
      </c>
      <c r="B893" s="8" t="s">
        <v>1532</v>
      </c>
      <c r="C893" s="8" t="s">
        <v>208</v>
      </c>
      <c r="D893" s="8" t="s">
        <v>209</v>
      </c>
      <c r="E893" s="8" t="s">
        <v>222</v>
      </c>
      <c r="F893" s="8">
        <v>44845</v>
      </c>
    </row>
    <row r="894" spans="1:6" ht="15" customHeight="1" x14ac:dyDescent="0.25">
      <c r="A894" s="8">
        <v>10672</v>
      </c>
      <c r="B894" s="8" t="s">
        <v>1533</v>
      </c>
      <c r="C894" s="8" t="s">
        <v>200</v>
      </c>
      <c r="D894" s="8" t="s">
        <v>201</v>
      </c>
      <c r="E894" s="8" t="s">
        <v>377</v>
      </c>
      <c r="F894" s="8">
        <v>196.34540000000001</v>
      </c>
    </row>
    <row r="895" spans="1:6" ht="15" customHeight="1" x14ac:dyDescent="0.25">
      <c r="A895" s="8">
        <v>10746</v>
      </c>
      <c r="B895" s="8" t="s">
        <v>1534</v>
      </c>
      <c r="C895" s="8" t="s">
        <v>221</v>
      </c>
      <c r="D895" s="8" t="s">
        <v>209</v>
      </c>
      <c r="E895" s="8" t="s">
        <v>222</v>
      </c>
      <c r="F895" s="8">
        <v>6074</v>
      </c>
    </row>
    <row r="896" spans="1:6" ht="15" customHeight="1" x14ac:dyDescent="0.25">
      <c r="A896" s="8">
        <v>10381</v>
      </c>
      <c r="B896" s="8" t="s">
        <v>1535</v>
      </c>
      <c r="C896" s="8" t="s">
        <v>1536</v>
      </c>
      <c r="D896" s="8" t="s">
        <v>205</v>
      </c>
      <c r="E896" s="8" t="s">
        <v>219</v>
      </c>
      <c r="F896" s="8">
        <v>34160</v>
      </c>
    </row>
    <row r="897" spans="1:6" ht="15" customHeight="1" x14ac:dyDescent="0.25">
      <c r="A897" s="8">
        <v>10288</v>
      </c>
      <c r="B897" s="8" t="s">
        <v>1537</v>
      </c>
      <c r="C897" s="8" t="s">
        <v>272</v>
      </c>
      <c r="D897" s="8" t="s">
        <v>177</v>
      </c>
      <c r="E897" s="8" t="s">
        <v>275</v>
      </c>
      <c r="F897" s="8">
        <v>21400</v>
      </c>
    </row>
    <row r="898" spans="1:6" ht="15" customHeight="1" x14ac:dyDescent="0.25">
      <c r="A898" s="8">
        <v>10769</v>
      </c>
      <c r="B898" s="8" t="s">
        <v>1538</v>
      </c>
      <c r="C898" s="8" t="s">
        <v>221</v>
      </c>
      <c r="D898" s="8" t="s">
        <v>209</v>
      </c>
      <c r="E898" s="8" t="s">
        <v>210</v>
      </c>
      <c r="F898" s="8">
        <v>47320</v>
      </c>
    </row>
    <row r="899" spans="1:6" ht="15" customHeight="1" x14ac:dyDescent="0.25">
      <c r="A899" s="8">
        <v>10034</v>
      </c>
      <c r="B899" s="8" t="s">
        <v>1539</v>
      </c>
      <c r="C899" s="8" t="s">
        <v>176</v>
      </c>
      <c r="D899" s="8" t="s">
        <v>197</v>
      </c>
      <c r="E899" s="8" t="s">
        <v>1073</v>
      </c>
      <c r="F899" s="8">
        <v>16144.283299999999</v>
      </c>
    </row>
    <row r="900" spans="1:6" ht="15" customHeight="1" x14ac:dyDescent="0.25">
      <c r="A900" s="8">
        <v>10822</v>
      </c>
      <c r="B900" s="8" t="s">
        <v>1540</v>
      </c>
      <c r="C900" s="8" t="s">
        <v>243</v>
      </c>
      <c r="D900" s="8" t="s">
        <v>782</v>
      </c>
      <c r="E900" s="8" t="s">
        <v>1541</v>
      </c>
      <c r="F900" s="8">
        <v>163.96559999999999</v>
      </c>
    </row>
    <row r="901" spans="1:6" ht="15" customHeight="1" x14ac:dyDescent="0.25">
      <c r="A901" s="8">
        <v>11061</v>
      </c>
      <c r="B901" s="8" t="s">
        <v>1542</v>
      </c>
      <c r="C901" s="8" t="s">
        <v>355</v>
      </c>
      <c r="D901" s="8" t="s">
        <v>266</v>
      </c>
      <c r="E901" s="8" t="s">
        <v>421</v>
      </c>
      <c r="F901" s="8">
        <v>67.817499999999995</v>
      </c>
    </row>
    <row r="902" spans="1:6" ht="15" customHeight="1" x14ac:dyDescent="0.25">
      <c r="A902" s="8">
        <v>10330</v>
      </c>
      <c r="B902" s="8" t="s">
        <v>1543</v>
      </c>
      <c r="C902" s="8" t="s">
        <v>1544</v>
      </c>
      <c r="D902" s="8" t="s">
        <v>177</v>
      </c>
      <c r="E902" s="8" t="s">
        <v>188</v>
      </c>
      <c r="F902" s="8">
        <v>9860</v>
      </c>
    </row>
    <row r="903" spans="1:6" ht="15" customHeight="1" x14ac:dyDescent="0.25">
      <c r="A903" s="8">
        <v>10399</v>
      </c>
      <c r="B903" s="8" t="s">
        <v>1545</v>
      </c>
      <c r="C903" s="8" t="s">
        <v>1130</v>
      </c>
      <c r="D903" s="8" t="s">
        <v>257</v>
      </c>
      <c r="E903" s="8" t="s">
        <v>372</v>
      </c>
      <c r="F903" s="8">
        <v>22265</v>
      </c>
    </row>
    <row r="904" spans="1:6" ht="15" customHeight="1" x14ac:dyDescent="0.25">
      <c r="A904" s="8">
        <v>10452</v>
      </c>
      <c r="B904" s="8" t="s">
        <v>1546</v>
      </c>
      <c r="C904" s="8" t="s">
        <v>226</v>
      </c>
      <c r="D904" s="8" t="s">
        <v>227</v>
      </c>
      <c r="E904" s="8" t="s">
        <v>719</v>
      </c>
      <c r="F904" s="8">
        <v>120.5847</v>
      </c>
    </row>
    <row r="905" spans="1:6" ht="15" customHeight="1" x14ac:dyDescent="0.25">
      <c r="A905" s="8">
        <v>10037</v>
      </c>
      <c r="B905" s="8" t="s">
        <v>1547</v>
      </c>
      <c r="C905" s="8" t="s">
        <v>243</v>
      </c>
      <c r="D905" s="8" t="s">
        <v>197</v>
      </c>
      <c r="E905" s="8" t="s">
        <v>1548</v>
      </c>
      <c r="F905" s="8">
        <v>117.9853</v>
      </c>
    </row>
    <row r="906" spans="1:6" ht="15" customHeight="1" x14ac:dyDescent="0.25">
      <c r="A906" s="8">
        <v>10137</v>
      </c>
      <c r="B906" s="8" t="s">
        <v>1549</v>
      </c>
      <c r="C906" s="8" t="s">
        <v>180</v>
      </c>
      <c r="D906" s="8" t="s">
        <v>181</v>
      </c>
      <c r="E906" s="8" t="s">
        <v>185</v>
      </c>
      <c r="F906" s="8">
        <v>442.625</v>
      </c>
    </row>
    <row r="907" spans="1:6" ht="15" customHeight="1" x14ac:dyDescent="0.25">
      <c r="A907" s="8">
        <v>10661</v>
      </c>
      <c r="B907" s="8" t="s">
        <v>1550</v>
      </c>
      <c r="C907" s="8" t="s">
        <v>200</v>
      </c>
      <c r="D907" s="8" t="s">
        <v>201</v>
      </c>
      <c r="E907" s="8" t="s">
        <v>377</v>
      </c>
      <c r="F907" s="8">
        <v>357.52800000000002</v>
      </c>
    </row>
    <row r="908" spans="1:6" ht="15" customHeight="1" x14ac:dyDescent="0.25">
      <c r="A908" s="8">
        <v>10109</v>
      </c>
      <c r="B908" s="8" t="s">
        <v>1551</v>
      </c>
      <c r="C908" s="8" t="s">
        <v>184</v>
      </c>
      <c r="D908" s="8" t="s">
        <v>181</v>
      </c>
      <c r="E908" s="8" t="s">
        <v>289</v>
      </c>
      <c r="F908" s="8">
        <v>2042.6080999999999</v>
      </c>
    </row>
    <row r="909" spans="1:6" ht="15" customHeight="1" x14ac:dyDescent="0.25">
      <c r="A909" s="8">
        <v>10528</v>
      </c>
      <c r="B909" s="8" t="s">
        <v>1552</v>
      </c>
      <c r="C909" s="8" t="s">
        <v>355</v>
      </c>
      <c r="D909" s="8" t="s">
        <v>279</v>
      </c>
      <c r="E909" s="8" t="s">
        <v>534</v>
      </c>
      <c r="F909" s="8">
        <v>2556</v>
      </c>
    </row>
    <row r="910" spans="1:6" ht="15" customHeight="1" x14ac:dyDescent="0.25">
      <c r="A910" s="8">
        <v>10988</v>
      </c>
      <c r="B910" s="8" t="s">
        <v>1553</v>
      </c>
      <c r="C910" s="8" t="s">
        <v>278</v>
      </c>
      <c r="D910" s="8" t="s">
        <v>279</v>
      </c>
      <c r="E910" s="8" t="s">
        <v>1554</v>
      </c>
      <c r="F910" s="8">
        <v>10174.35</v>
      </c>
    </row>
    <row r="911" spans="1:6" ht="15" customHeight="1" x14ac:dyDescent="0.25">
      <c r="A911" s="8">
        <v>10090</v>
      </c>
      <c r="B911" s="8" t="s">
        <v>1555</v>
      </c>
      <c r="C911" s="8" t="s">
        <v>1556</v>
      </c>
      <c r="D911" s="8" t="s">
        <v>340</v>
      </c>
      <c r="E911" s="8" t="s">
        <v>620</v>
      </c>
      <c r="F911" s="8">
        <v>844.51700000000005</v>
      </c>
    </row>
    <row r="912" spans="1:6" ht="15" customHeight="1" x14ac:dyDescent="0.25">
      <c r="A912" s="8">
        <v>10039</v>
      </c>
      <c r="B912" s="8" t="s">
        <v>1557</v>
      </c>
      <c r="C912" s="8" t="s">
        <v>187</v>
      </c>
      <c r="D912" s="8" t="s">
        <v>197</v>
      </c>
      <c r="E912" s="8" t="s">
        <v>836</v>
      </c>
      <c r="F912" s="8">
        <v>4650.67</v>
      </c>
    </row>
    <row r="913" spans="1:6" ht="15" customHeight="1" x14ac:dyDescent="0.25">
      <c r="A913" s="8">
        <v>10679</v>
      </c>
      <c r="B913" s="8" t="s">
        <v>1558</v>
      </c>
      <c r="C913" s="8" t="s">
        <v>200</v>
      </c>
      <c r="D913" s="8" t="s">
        <v>201</v>
      </c>
      <c r="E913" s="8" t="s">
        <v>377</v>
      </c>
      <c r="F913" s="8">
        <v>71.600700000000003</v>
      </c>
    </row>
    <row r="914" spans="1:6" ht="15" customHeight="1" x14ac:dyDescent="0.25">
      <c r="A914" s="8">
        <v>10266</v>
      </c>
      <c r="B914" s="8" t="s">
        <v>1559</v>
      </c>
      <c r="C914" s="8" t="s">
        <v>272</v>
      </c>
      <c r="D914" s="8" t="s">
        <v>177</v>
      </c>
      <c r="E914" s="8" t="s">
        <v>1164</v>
      </c>
      <c r="F914" s="8">
        <v>5017.3302000000003</v>
      </c>
    </row>
    <row r="915" spans="1:6" ht="15" customHeight="1" x14ac:dyDescent="0.25">
      <c r="A915" s="8">
        <v>10052</v>
      </c>
      <c r="B915" s="8" t="s">
        <v>1560</v>
      </c>
      <c r="C915" s="8" t="s">
        <v>176</v>
      </c>
      <c r="D915" s="8" t="s">
        <v>197</v>
      </c>
      <c r="E915" s="8" t="s">
        <v>590</v>
      </c>
      <c r="F915" s="8">
        <v>258.83199999999999</v>
      </c>
    </row>
    <row r="916" spans="1:6" ht="15" customHeight="1" x14ac:dyDescent="0.25">
      <c r="A916" s="8">
        <v>10678</v>
      </c>
      <c r="B916" s="8" t="s">
        <v>1561</v>
      </c>
      <c r="C916" s="8" t="s">
        <v>200</v>
      </c>
      <c r="D916" s="8" t="s">
        <v>201</v>
      </c>
      <c r="E916" s="8" t="s">
        <v>377</v>
      </c>
      <c r="F916" s="8">
        <v>152.45590000000001</v>
      </c>
    </row>
    <row r="917" spans="1:6" ht="15" customHeight="1" x14ac:dyDescent="0.25">
      <c r="A917" s="8">
        <v>11030</v>
      </c>
      <c r="B917" s="8" t="s">
        <v>1562</v>
      </c>
      <c r="C917" s="8" t="s">
        <v>233</v>
      </c>
      <c r="D917" s="8" t="s">
        <v>266</v>
      </c>
      <c r="E917" s="8" t="s">
        <v>400</v>
      </c>
      <c r="F917" s="8">
        <v>17.074999999999999</v>
      </c>
    </row>
    <row r="918" spans="1:6" ht="15" customHeight="1" x14ac:dyDescent="0.25">
      <c r="A918" s="8">
        <v>10408</v>
      </c>
      <c r="B918" s="8" t="s">
        <v>1563</v>
      </c>
      <c r="C918" s="8" t="s">
        <v>504</v>
      </c>
      <c r="D918" s="8" t="s">
        <v>257</v>
      </c>
      <c r="E918" s="8" t="s">
        <v>258</v>
      </c>
      <c r="F918" s="8">
        <v>478</v>
      </c>
    </row>
    <row r="919" spans="1:6" ht="15" customHeight="1" x14ac:dyDescent="0.25">
      <c r="A919" s="8">
        <v>10562</v>
      </c>
      <c r="B919" s="8" t="s">
        <v>1564</v>
      </c>
      <c r="C919" s="8" t="s">
        <v>1043</v>
      </c>
      <c r="D919" s="8" t="s">
        <v>266</v>
      </c>
      <c r="E919" s="8" t="s">
        <v>1565</v>
      </c>
      <c r="F919" s="8">
        <v>1009.8049999999999</v>
      </c>
    </row>
    <row r="920" spans="1:6" ht="15" customHeight="1" x14ac:dyDescent="0.25">
      <c r="A920" s="8">
        <v>10625</v>
      </c>
      <c r="B920" s="8" t="s">
        <v>1566</v>
      </c>
      <c r="C920" s="8" t="s">
        <v>200</v>
      </c>
      <c r="D920" s="8" t="s">
        <v>201</v>
      </c>
      <c r="E920" s="8" t="s">
        <v>377</v>
      </c>
      <c r="F920" s="8">
        <v>1059.5555999999999</v>
      </c>
    </row>
    <row r="921" spans="1:6" ht="15" customHeight="1" x14ac:dyDescent="0.25">
      <c r="A921" s="8">
        <v>10560</v>
      </c>
      <c r="B921" s="8" t="s">
        <v>1567</v>
      </c>
      <c r="C921" s="8" t="s">
        <v>1568</v>
      </c>
      <c r="D921" s="8" t="s">
        <v>266</v>
      </c>
      <c r="E921" s="8" t="s">
        <v>360</v>
      </c>
      <c r="F921" s="8">
        <v>1159.0413000000001</v>
      </c>
    </row>
    <row r="922" spans="1:6" ht="15" customHeight="1" x14ac:dyDescent="0.25">
      <c r="A922" s="8">
        <v>10089</v>
      </c>
      <c r="B922" s="8" t="s">
        <v>1569</v>
      </c>
      <c r="C922" s="8" t="s">
        <v>221</v>
      </c>
      <c r="D922" s="8" t="s">
        <v>340</v>
      </c>
      <c r="E922" s="8" t="s">
        <v>486</v>
      </c>
      <c r="F922" s="8">
        <v>103.295</v>
      </c>
    </row>
    <row r="923" spans="1:6" ht="15" customHeight="1" x14ac:dyDescent="0.25">
      <c r="A923" s="8">
        <v>12099</v>
      </c>
      <c r="B923" s="8" t="s">
        <v>1570</v>
      </c>
      <c r="C923" s="8" t="s">
        <v>226</v>
      </c>
      <c r="D923" s="8" t="s">
        <v>227</v>
      </c>
      <c r="E923" s="8" t="s">
        <v>698</v>
      </c>
      <c r="F923" s="8">
        <v>91.798699999999997</v>
      </c>
    </row>
    <row r="924" spans="1:6" ht="15" customHeight="1" x14ac:dyDescent="0.25">
      <c r="A924" s="8">
        <v>10247</v>
      </c>
      <c r="B924" s="8" t="s">
        <v>1571</v>
      </c>
      <c r="C924" s="8" t="s">
        <v>176</v>
      </c>
      <c r="D924" s="8" t="s">
        <v>177</v>
      </c>
      <c r="E924" s="8" t="s">
        <v>300</v>
      </c>
      <c r="F924" s="8">
        <v>21260</v>
      </c>
    </row>
    <row r="925" spans="1:6" ht="15" customHeight="1" x14ac:dyDescent="0.25">
      <c r="A925" s="8">
        <v>10477</v>
      </c>
      <c r="B925" s="8" t="s">
        <v>1572</v>
      </c>
      <c r="C925" s="8" t="s">
        <v>319</v>
      </c>
      <c r="D925" s="8" t="s">
        <v>320</v>
      </c>
      <c r="E925" s="8" t="s">
        <v>407</v>
      </c>
      <c r="F925" s="8">
        <v>20795</v>
      </c>
    </row>
    <row r="926" spans="1:6" ht="15" customHeight="1" x14ac:dyDescent="0.25">
      <c r="A926" s="8">
        <v>10056</v>
      </c>
      <c r="B926" s="8" t="s">
        <v>1573</v>
      </c>
      <c r="C926" s="8" t="s">
        <v>176</v>
      </c>
      <c r="D926" s="8" t="s">
        <v>197</v>
      </c>
      <c r="E926" s="8" t="s">
        <v>854</v>
      </c>
      <c r="F926" s="8">
        <v>42230</v>
      </c>
    </row>
    <row r="927" spans="1:6" ht="15" customHeight="1" x14ac:dyDescent="0.25">
      <c r="A927" s="8">
        <v>10617</v>
      </c>
      <c r="B927" s="8" t="s">
        <v>1574</v>
      </c>
      <c r="C927" s="8" t="s">
        <v>243</v>
      </c>
      <c r="D927" s="8" t="s">
        <v>326</v>
      </c>
      <c r="E927" s="8" t="s">
        <v>462</v>
      </c>
      <c r="F927" s="8">
        <v>14.72</v>
      </c>
    </row>
    <row r="928" spans="1:6" ht="15" customHeight="1" x14ac:dyDescent="0.25">
      <c r="A928" s="8">
        <v>11115</v>
      </c>
      <c r="B928" s="8" t="s">
        <v>1575</v>
      </c>
      <c r="C928" s="8" t="s">
        <v>243</v>
      </c>
      <c r="D928" s="8" t="s">
        <v>244</v>
      </c>
      <c r="E928" s="8" t="s">
        <v>1576</v>
      </c>
      <c r="F928" s="8">
        <v>22.406199999999998</v>
      </c>
    </row>
    <row r="929" spans="1:6" ht="15" customHeight="1" x14ac:dyDescent="0.25">
      <c r="A929" s="8">
        <v>10128</v>
      </c>
      <c r="B929" s="8" t="s">
        <v>1577</v>
      </c>
      <c r="C929" s="8" t="s">
        <v>1030</v>
      </c>
      <c r="D929" s="8" t="s">
        <v>181</v>
      </c>
      <c r="E929" s="8" t="s">
        <v>1578</v>
      </c>
      <c r="F929" s="8">
        <v>415.7</v>
      </c>
    </row>
    <row r="930" spans="1:6" ht="15" customHeight="1" x14ac:dyDescent="0.25">
      <c r="A930" s="8">
        <v>10642</v>
      </c>
      <c r="B930" s="8" t="s">
        <v>1579</v>
      </c>
      <c r="C930" s="8" t="s">
        <v>200</v>
      </c>
      <c r="D930" s="8" t="s">
        <v>201</v>
      </c>
      <c r="E930" s="8" t="s">
        <v>377</v>
      </c>
      <c r="F930" s="8">
        <v>189.78980000000001</v>
      </c>
    </row>
    <row r="931" spans="1:6" ht="15" customHeight="1" x14ac:dyDescent="0.25">
      <c r="A931" s="8">
        <v>10513</v>
      </c>
      <c r="B931" s="8" t="s">
        <v>1580</v>
      </c>
      <c r="C931" s="8" t="s">
        <v>647</v>
      </c>
      <c r="D931" s="8" t="s">
        <v>279</v>
      </c>
      <c r="E931" s="8" t="s">
        <v>1151</v>
      </c>
      <c r="F931" s="8">
        <v>8513.1915000000008</v>
      </c>
    </row>
    <row r="932" spans="1:6" ht="15" customHeight="1" x14ac:dyDescent="0.25">
      <c r="A932" s="8">
        <v>10070</v>
      </c>
      <c r="B932" s="8" t="s">
        <v>1581</v>
      </c>
      <c r="C932" s="8" t="s">
        <v>187</v>
      </c>
      <c r="D932" s="8" t="s">
        <v>197</v>
      </c>
      <c r="E932" s="8" t="s">
        <v>269</v>
      </c>
      <c r="F932" s="8">
        <v>185.90199999999999</v>
      </c>
    </row>
    <row r="933" spans="1:6" ht="15" customHeight="1" x14ac:dyDescent="0.25">
      <c r="A933" s="8">
        <v>10874</v>
      </c>
      <c r="B933" s="8" t="s">
        <v>1582</v>
      </c>
      <c r="C933" s="8" t="s">
        <v>312</v>
      </c>
      <c r="D933" s="8" t="s">
        <v>282</v>
      </c>
      <c r="E933" s="8" t="s">
        <v>1065</v>
      </c>
      <c r="F933" s="8">
        <v>9.3774999999999995</v>
      </c>
    </row>
    <row r="934" spans="1:6" ht="15" customHeight="1" x14ac:dyDescent="0.25">
      <c r="A934" s="8">
        <v>10594</v>
      </c>
      <c r="B934" s="8" t="s">
        <v>1583</v>
      </c>
      <c r="C934" s="8" t="s">
        <v>233</v>
      </c>
      <c r="D934" s="8" t="s">
        <v>266</v>
      </c>
      <c r="E934" s="8" t="s">
        <v>267</v>
      </c>
      <c r="F934" s="8">
        <v>3967.93</v>
      </c>
    </row>
    <row r="935" spans="1:6" ht="15" customHeight="1" x14ac:dyDescent="0.25">
      <c r="A935" s="8">
        <v>10348</v>
      </c>
      <c r="B935" s="8" t="s">
        <v>1584</v>
      </c>
      <c r="C935" s="8" t="s">
        <v>176</v>
      </c>
      <c r="D935" s="8" t="s">
        <v>177</v>
      </c>
      <c r="E935" s="8" t="s">
        <v>952</v>
      </c>
      <c r="F935" s="8">
        <v>1157.5676000000001</v>
      </c>
    </row>
    <row r="936" spans="1:6" ht="15" customHeight="1" x14ac:dyDescent="0.25">
      <c r="A936" s="8">
        <v>11735</v>
      </c>
      <c r="B936" s="8" t="s">
        <v>1585</v>
      </c>
      <c r="C936" s="8" t="s">
        <v>482</v>
      </c>
      <c r="D936" s="8" t="s">
        <v>266</v>
      </c>
      <c r="E936" s="8" t="s">
        <v>400</v>
      </c>
      <c r="F936" s="8">
        <v>171.1669</v>
      </c>
    </row>
    <row r="937" spans="1:6" ht="15" customHeight="1" x14ac:dyDescent="0.25">
      <c r="A937" s="8">
        <v>10576</v>
      </c>
      <c r="B937" s="8" t="s">
        <v>1586</v>
      </c>
      <c r="C937" s="8" t="s">
        <v>1587</v>
      </c>
      <c r="D937" s="8" t="s">
        <v>266</v>
      </c>
      <c r="E937" s="8" t="s">
        <v>267</v>
      </c>
      <c r="F937" s="8">
        <v>2404</v>
      </c>
    </row>
    <row r="938" spans="1:6" ht="15" customHeight="1" x14ac:dyDescent="0.25">
      <c r="A938" s="8">
        <v>10378</v>
      </c>
      <c r="B938" s="8" t="s">
        <v>1588</v>
      </c>
      <c r="C938" s="8" t="s">
        <v>1589</v>
      </c>
      <c r="D938" s="8" t="s">
        <v>205</v>
      </c>
      <c r="E938" s="8" t="s">
        <v>219</v>
      </c>
      <c r="F938" s="8">
        <v>90960</v>
      </c>
    </row>
    <row r="939" spans="1:6" ht="15" customHeight="1" x14ac:dyDescent="0.25">
      <c r="A939" s="8">
        <v>10631</v>
      </c>
      <c r="B939" s="8" t="s">
        <v>1590</v>
      </c>
      <c r="C939" s="8" t="s">
        <v>200</v>
      </c>
      <c r="D939" s="8" t="s">
        <v>201</v>
      </c>
      <c r="E939" s="8" t="s">
        <v>285</v>
      </c>
      <c r="F939" s="8">
        <v>31.6678</v>
      </c>
    </row>
    <row r="940" spans="1:6" ht="15" customHeight="1" x14ac:dyDescent="0.25">
      <c r="A940" s="8">
        <v>10750</v>
      </c>
      <c r="B940" s="8" t="s">
        <v>1591</v>
      </c>
      <c r="C940" s="8" t="s">
        <v>208</v>
      </c>
      <c r="D940" s="8" t="s">
        <v>209</v>
      </c>
      <c r="E940" s="8" t="s">
        <v>222</v>
      </c>
      <c r="F940" s="8">
        <v>35910</v>
      </c>
    </row>
    <row r="941" spans="1:6" ht="15" customHeight="1" x14ac:dyDescent="0.25">
      <c r="A941" s="8">
        <v>10546</v>
      </c>
      <c r="B941" s="8" t="s">
        <v>1592</v>
      </c>
      <c r="C941" s="8" t="s">
        <v>674</v>
      </c>
      <c r="D941" s="8" t="s">
        <v>675</v>
      </c>
      <c r="E941" s="8" t="s">
        <v>1593</v>
      </c>
      <c r="F941" s="8">
        <v>13300</v>
      </c>
    </row>
    <row r="942" spans="1:6" ht="15" customHeight="1" x14ac:dyDescent="0.25">
      <c r="A942" s="8">
        <v>10543</v>
      </c>
      <c r="B942" s="8" t="s">
        <v>1594</v>
      </c>
      <c r="C942" s="8" t="s">
        <v>355</v>
      </c>
      <c r="D942" s="8" t="s">
        <v>279</v>
      </c>
      <c r="E942" s="8" t="s">
        <v>534</v>
      </c>
      <c r="F942" s="8">
        <v>10501.25</v>
      </c>
    </row>
    <row r="943" spans="1:6" ht="15" customHeight="1" x14ac:dyDescent="0.25">
      <c r="A943" s="8">
        <v>10682</v>
      </c>
      <c r="B943" s="8" t="s">
        <v>1595</v>
      </c>
      <c r="C943" s="8" t="s">
        <v>200</v>
      </c>
      <c r="D943" s="8" t="s">
        <v>201</v>
      </c>
      <c r="E943" s="8" t="s">
        <v>285</v>
      </c>
      <c r="F943" s="8">
        <v>9.9649999999999999</v>
      </c>
    </row>
    <row r="944" spans="1:6" ht="15" customHeight="1" x14ac:dyDescent="0.25">
      <c r="A944" s="8">
        <v>10651</v>
      </c>
      <c r="B944" s="8" t="s">
        <v>1596</v>
      </c>
      <c r="C944" s="8" t="s">
        <v>200</v>
      </c>
      <c r="D944" s="8" t="s">
        <v>201</v>
      </c>
      <c r="E944" s="8" t="s">
        <v>285</v>
      </c>
      <c r="F944" s="8">
        <v>623.57060000000001</v>
      </c>
    </row>
    <row r="945" spans="1:6" ht="15" customHeight="1" x14ac:dyDescent="0.25">
      <c r="A945" s="8">
        <v>10404</v>
      </c>
      <c r="B945" s="8" t="s">
        <v>1597</v>
      </c>
      <c r="C945" s="8" t="s">
        <v>1394</v>
      </c>
      <c r="D945" s="8" t="s">
        <v>257</v>
      </c>
      <c r="E945" s="8" t="s">
        <v>1305</v>
      </c>
      <c r="F945" s="8">
        <v>30000</v>
      </c>
    </row>
    <row r="946" spans="1:6" ht="15" customHeight="1" x14ac:dyDescent="0.25">
      <c r="A946" s="8">
        <v>10789</v>
      </c>
      <c r="B946" s="8" t="s">
        <v>1598</v>
      </c>
      <c r="C946" s="8" t="s">
        <v>196</v>
      </c>
      <c r="D946" s="8" t="s">
        <v>197</v>
      </c>
      <c r="E946" s="8" t="s">
        <v>298</v>
      </c>
      <c r="F946" s="8">
        <v>7215.3388000000004</v>
      </c>
    </row>
    <row r="947" spans="1:6" ht="15" customHeight="1" x14ac:dyDescent="0.25">
      <c r="A947" s="8">
        <v>10154</v>
      </c>
      <c r="B947" s="8" t="s">
        <v>1599</v>
      </c>
      <c r="C947" s="8" t="s">
        <v>1600</v>
      </c>
      <c r="D947" s="8" t="s">
        <v>294</v>
      </c>
      <c r="E947" s="8" t="s">
        <v>1179</v>
      </c>
      <c r="F947" s="8">
        <v>97576.622199999998</v>
      </c>
    </row>
    <row r="948" spans="1:6" ht="15" customHeight="1" x14ac:dyDescent="0.25">
      <c r="A948" s="8">
        <v>10331</v>
      </c>
      <c r="B948" s="8" t="s">
        <v>1601</v>
      </c>
      <c r="C948" s="8" t="s">
        <v>272</v>
      </c>
      <c r="D948" s="8" t="s">
        <v>177</v>
      </c>
      <c r="E948" s="8" t="s">
        <v>275</v>
      </c>
      <c r="F948" s="8">
        <v>14212</v>
      </c>
    </row>
    <row r="949" spans="1:6" ht="15" customHeight="1" x14ac:dyDescent="0.25">
      <c r="A949" s="8">
        <v>10509</v>
      </c>
      <c r="B949" s="8" t="s">
        <v>1602</v>
      </c>
      <c r="C949" s="8" t="s">
        <v>233</v>
      </c>
      <c r="D949" s="8" t="s">
        <v>279</v>
      </c>
      <c r="E949" s="8" t="s">
        <v>1603</v>
      </c>
      <c r="F949" s="8">
        <v>22283.229599999999</v>
      </c>
    </row>
    <row r="950" spans="1:6" ht="15" customHeight="1" x14ac:dyDescent="0.25">
      <c r="A950" s="8">
        <v>10588</v>
      </c>
      <c r="B950" s="8" t="s">
        <v>1604</v>
      </c>
      <c r="C950" s="8" t="s">
        <v>243</v>
      </c>
      <c r="D950" s="8" t="s">
        <v>266</v>
      </c>
      <c r="E950" s="8" t="s">
        <v>1605</v>
      </c>
      <c r="F950" s="8">
        <v>168.41480000000001</v>
      </c>
    </row>
    <row r="951" spans="1:6" ht="15" customHeight="1" x14ac:dyDescent="0.25">
      <c r="A951" s="8">
        <v>10658</v>
      </c>
      <c r="B951" s="8" t="s">
        <v>1606</v>
      </c>
      <c r="C951" s="8" t="s">
        <v>200</v>
      </c>
      <c r="D951" s="8" t="s">
        <v>1607</v>
      </c>
      <c r="E951" s="8" t="s">
        <v>713</v>
      </c>
      <c r="F951" s="8">
        <v>101.6835</v>
      </c>
    </row>
    <row r="952" spans="1:6" ht="15" customHeight="1" x14ac:dyDescent="0.25">
      <c r="A952" s="8">
        <v>10369</v>
      </c>
      <c r="B952" s="8" t="s">
        <v>1608</v>
      </c>
      <c r="C952" s="8" t="s">
        <v>1609</v>
      </c>
      <c r="D952" s="8" t="s">
        <v>205</v>
      </c>
      <c r="E952" s="8" t="s">
        <v>219</v>
      </c>
      <c r="F952" s="8">
        <v>40960</v>
      </c>
    </row>
    <row r="953" spans="1:6" ht="15" customHeight="1" x14ac:dyDescent="0.25">
      <c r="A953" s="8">
        <v>10449</v>
      </c>
      <c r="B953" s="8" t="s">
        <v>1610</v>
      </c>
      <c r="C953" s="8" t="s">
        <v>226</v>
      </c>
      <c r="D953" s="8" t="s">
        <v>227</v>
      </c>
      <c r="E953" s="8" t="s">
        <v>804</v>
      </c>
      <c r="F953" s="8">
        <v>1400.5373</v>
      </c>
    </row>
    <row r="954" spans="1:6" ht="15" customHeight="1" x14ac:dyDescent="0.25">
      <c r="A954" s="8">
        <v>10364</v>
      </c>
      <c r="B954" s="8" t="s">
        <v>1611</v>
      </c>
      <c r="C954" s="8" t="s">
        <v>187</v>
      </c>
      <c r="D954" s="8" t="s">
        <v>230</v>
      </c>
      <c r="E954" s="8" t="s">
        <v>1612</v>
      </c>
      <c r="F954" s="8">
        <v>116079.9194</v>
      </c>
    </row>
    <row r="955" spans="1:6" ht="15" customHeight="1" x14ac:dyDescent="0.25">
      <c r="A955" s="8">
        <v>10557</v>
      </c>
      <c r="B955" s="8" t="s">
        <v>1613</v>
      </c>
      <c r="C955" s="8" t="s">
        <v>575</v>
      </c>
      <c r="D955" s="8" t="s">
        <v>266</v>
      </c>
      <c r="E955" s="8" t="s">
        <v>267</v>
      </c>
      <c r="F955" s="8">
        <v>21674.546600000001</v>
      </c>
    </row>
    <row r="956" spans="1:6" ht="15" customHeight="1" x14ac:dyDescent="0.25">
      <c r="A956" s="8">
        <v>10110</v>
      </c>
      <c r="B956" s="8" t="s">
        <v>1614</v>
      </c>
      <c r="C956" s="8" t="s">
        <v>1615</v>
      </c>
      <c r="D956" s="8" t="s">
        <v>181</v>
      </c>
      <c r="E956" s="8" t="s">
        <v>185</v>
      </c>
      <c r="F956" s="8">
        <v>17645</v>
      </c>
    </row>
    <row r="957" spans="1:6" ht="15" customHeight="1" x14ac:dyDescent="0.25">
      <c r="A957" s="8">
        <v>10286</v>
      </c>
      <c r="B957" s="8" t="s">
        <v>1616</v>
      </c>
      <c r="C957" s="8" t="s">
        <v>187</v>
      </c>
      <c r="D957" s="8" t="s">
        <v>177</v>
      </c>
      <c r="E957" s="8" t="s">
        <v>392</v>
      </c>
      <c r="F957" s="8">
        <v>5237.5</v>
      </c>
    </row>
    <row r="958" spans="1:6" ht="15" customHeight="1" x14ac:dyDescent="0.25">
      <c r="A958" s="8">
        <v>10496</v>
      </c>
      <c r="B958" s="8" t="s">
        <v>1617</v>
      </c>
      <c r="C958" s="8" t="s">
        <v>482</v>
      </c>
      <c r="D958" s="8" t="s">
        <v>279</v>
      </c>
      <c r="E958" s="8" t="s">
        <v>379</v>
      </c>
      <c r="F958" s="8">
        <v>4791.6796999999997</v>
      </c>
    </row>
    <row r="959" spans="1:6" ht="15" customHeight="1" x14ac:dyDescent="0.25">
      <c r="A959" s="8">
        <v>10233</v>
      </c>
      <c r="B959" s="8" t="s">
        <v>1618</v>
      </c>
      <c r="C959" s="8" t="s">
        <v>1619</v>
      </c>
      <c r="D959" s="8" t="s">
        <v>337</v>
      </c>
      <c r="E959" s="8" t="s">
        <v>411</v>
      </c>
      <c r="F959" s="8">
        <v>209.2739</v>
      </c>
    </row>
    <row r="960" spans="1:6" ht="15" customHeight="1" x14ac:dyDescent="0.25">
      <c r="A960" s="8">
        <v>10937</v>
      </c>
      <c r="B960" s="8" t="s">
        <v>1620</v>
      </c>
      <c r="C960" s="8" t="s">
        <v>226</v>
      </c>
      <c r="D960" s="8" t="s">
        <v>227</v>
      </c>
      <c r="E960" s="8" t="s">
        <v>405</v>
      </c>
      <c r="F960" s="8">
        <v>168.6557</v>
      </c>
    </row>
    <row r="961" spans="1:6" ht="15" customHeight="1" x14ac:dyDescent="0.25">
      <c r="A961" s="8">
        <v>10389</v>
      </c>
      <c r="B961" s="8" t="s">
        <v>1621</v>
      </c>
      <c r="C961" s="8" t="s">
        <v>1158</v>
      </c>
      <c r="D961" s="8" t="s">
        <v>205</v>
      </c>
      <c r="E961" s="8" t="s">
        <v>219</v>
      </c>
      <c r="F961" s="8">
        <v>73680</v>
      </c>
    </row>
    <row r="962" spans="1:6" ht="15" customHeight="1" x14ac:dyDescent="0.25">
      <c r="A962" s="8">
        <v>10248</v>
      </c>
      <c r="B962" s="8" t="s">
        <v>1622</v>
      </c>
      <c r="C962" s="8" t="s">
        <v>187</v>
      </c>
      <c r="D962" s="8" t="s">
        <v>177</v>
      </c>
      <c r="E962" s="8" t="s">
        <v>1623</v>
      </c>
      <c r="F962" s="8">
        <v>50000</v>
      </c>
    </row>
    <row r="963" spans="1:6" ht="15" customHeight="1" x14ac:dyDescent="0.25">
      <c r="A963" s="8">
        <v>10210</v>
      </c>
      <c r="B963" s="8" t="s">
        <v>1624</v>
      </c>
      <c r="C963" s="8" t="s">
        <v>627</v>
      </c>
      <c r="D963" s="8" t="s">
        <v>282</v>
      </c>
      <c r="E963" s="8" t="s">
        <v>987</v>
      </c>
      <c r="F963" s="8">
        <v>4462.9835000000003</v>
      </c>
    </row>
    <row r="964" spans="1:6" ht="15" customHeight="1" x14ac:dyDescent="0.25">
      <c r="A964" s="8">
        <v>10630</v>
      </c>
      <c r="B964" s="8" t="s">
        <v>1625</v>
      </c>
      <c r="C964" s="8" t="s">
        <v>200</v>
      </c>
      <c r="D964" s="8" t="s">
        <v>201</v>
      </c>
      <c r="E964" s="8" t="s">
        <v>532</v>
      </c>
      <c r="F964" s="8">
        <v>203.99879999999999</v>
      </c>
    </row>
    <row r="965" spans="1:6" ht="15" customHeight="1" x14ac:dyDescent="0.25">
      <c r="A965" s="8">
        <v>10510</v>
      </c>
      <c r="B965" s="8" t="s">
        <v>1626</v>
      </c>
      <c r="C965" s="8" t="s">
        <v>1150</v>
      </c>
      <c r="D965" s="8" t="s">
        <v>279</v>
      </c>
      <c r="E965" s="8" t="s">
        <v>963</v>
      </c>
      <c r="F965" s="8">
        <v>3742.569</v>
      </c>
    </row>
    <row r="966" spans="1:6" ht="15" customHeight="1" x14ac:dyDescent="0.25">
      <c r="A966" s="8">
        <v>10752</v>
      </c>
      <c r="B966" s="8" t="s">
        <v>1627</v>
      </c>
      <c r="C966" s="8" t="s">
        <v>221</v>
      </c>
      <c r="D966" s="8" t="s">
        <v>209</v>
      </c>
      <c r="E966" s="8" t="s">
        <v>222</v>
      </c>
      <c r="F966" s="8">
        <v>15390</v>
      </c>
    </row>
    <row r="967" spans="1:6" ht="15" customHeight="1" x14ac:dyDescent="0.25">
      <c r="A967" s="8">
        <v>11108</v>
      </c>
      <c r="B967" s="8" t="s">
        <v>1628</v>
      </c>
      <c r="C967" s="8" t="s">
        <v>243</v>
      </c>
      <c r="D967" s="8" t="s">
        <v>326</v>
      </c>
      <c r="E967" s="8" t="s">
        <v>742</v>
      </c>
      <c r="F967" s="8">
        <v>39.614699999999999</v>
      </c>
    </row>
    <row r="968" spans="1:6" ht="15" customHeight="1" x14ac:dyDescent="0.25">
      <c r="A968" s="8">
        <v>10433</v>
      </c>
      <c r="B968" s="8" t="s">
        <v>1629</v>
      </c>
      <c r="C968" s="8" t="s">
        <v>312</v>
      </c>
      <c r="D968" s="8" t="s">
        <v>213</v>
      </c>
      <c r="E968" s="8" t="s">
        <v>583</v>
      </c>
      <c r="F968" s="8">
        <v>211.11949999999999</v>
      </c>
    </row>
    <row r="969" spans="1:6" ht="15" customHeight="1" x14ac:dyDescent="0.25">
      <c r="A969" s="8">
        <v>11659</v>
      </c>
      <c r="B969" s="8" t="s">
        <v>1630</v>
      </c>
      <c r="C969" s="8" t="s">
        <v>243</v>
      </c>
      <c r="D969" s="8" t="s">
        <v>244</v>
      </c>
      <c r="E969" s="8" t="s">
        <v>611</v>
      </c>
      <c r="F969" s="8">
        <v>17.729099999999999</v>
      </c>
    </row>
  </sheetData>
  <autoFilter ref="A1:F969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Plantilla</vt:lpstr>
      <vt:lpstr>Instrucciones</vt:lpstr>
      <vt:lpstr>Resguardos_ANT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Harold Stiven Acuña Alaguna</cp:lastModifiedBy>
  <cp:revision>0</cp:revision>
  <dcterms:created xsi:type="dcterms:W3CDTF">2026-09-20T02:40:26Z</dcterms:created>
  <dcterms:modified xsi:type="dcterms:W3CDTF">2026-09-20T04:02:29Z</dcterms:modified>
  <dc:language>en-US</dc:language>
</cp:coreProperties>
</file>